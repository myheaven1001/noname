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HOP" sheetId="1" state="visible" r:id="rId3"/>
    <sheet name="thien son" sheetId="2" state="visible" r:id="rId4"/>
    <sheet name="568" sheetId="3" state="visible" r:id="rId5"/>
    <sheet name="cpnp" sheetId="4" state="visible" r:id="rId6"/>
    <sheet name="VTB" sheetId="5" state="visible" r:id="rId7"/>
    <sheet name="viet nhat" sheetId="6" state="visible" r:id="rId8"/>
    <sheet name="Green Ai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<sst xmlns="http://schemas.openxmlformats.org/spreadsheetml/2006/main" count="531" uniqueCount="187">
  <si>
    <t xml:space="preserve">TỔNG HỢP SỐ CUỘN KHO HƯNG YÊN – NGÀY 08/10/2026</t>
  </si>
  <si>
    <t xml:space="preserve">1. KHO THIÊN SƠN</t>
  </si>
  <si>
    <t xml:space="preserve">STT</t>
  </si>
  <si>
    <t xml:space="preserve">LOẠI</t>
  </si>
  <si>
    <t xml:space="preserve">SỐ CUỘN</t>
  </si>
  <si>
    <t xml:space="preserve">KHỐI LƯỢNG (kg)</t>
  </si>
  <si>
    <t xml:space="preserve">Cuộn inox</t>
  </si>
  <si>
    <t xml:space="preserve">Cuộn đen</t>
  </si>
  <si>
    <t xml:space="preserve">TỔNG CỘNG</t>
  </si>
  <si>
    <t xml:space="preserve">2. SHEET 568 – THEO VỊ TRÍ</t>
  </si>
  <si>
    <t xml:space="preserve">VỊ TRÍ 568</t>
  </si>
  <si>
    <t xml:space="preserve">VỊ TRÍ CPNP</t>
  </si>
  <si>
    <t xml:space="preserve">TỔNG</t>
  </si>
  <si>
    <t xml:space="preserve">Cuộn cán nóng</t>
  </si>
  <si>
    <t xml:space="preserve">TỔNG SỐ CUỘN</t>
  </si>
  <si>
    <t xml:space="preserve">Thép tấm (tấm, không phải cuộn)</t>
  </si>
  <si>
    <t xml:space="preserve">Khối lượng tất cả (kg)</t>
  </si>
  <si>
    <t xml:space="preserve">Ghi chú: vị trí ở cột F bảng dưới được lấy theo màu chữ cột Lô trong sheet 568 (chữ đỏ = CPNP, chữ đen = 568). Nếu sai, sửa ô vàng ở cột F – bảng trên tự cập nhật.</t>
  </si>
  <si>
    <t xml:space="preserve">CHI TIẾT SHEET 568 (tồn đến 08/10)</t>
  </si>
  <si>
    <t xml:space="preserve">LÔ</t>
  </si>
  <si>
    <t xml:space="preserve">TỒN CUỐI</t>
  </si>
  <si>
    <t xml:space="preserve">VỊ TRÍ</t>
  </si>
  <si>
    <t xml:space="preserve">568</t>
  </si>
  <si>
    <t xml:space="preserve">CPNP</t>
  </si>
  <si>
    <t xml:space="preserve">TỔNG HỢP TỒN KHO THIÊN SƠN</t>
  </si>
  <si>
    <t xml:space="preserve">QUY CÁCH</t>
  </si>
  <si>
    <t xml:space="preserve">SỐ LƯỢNG 10/9</t>
  </si>
  <si>
    <t xml:space="preserve">11/09</t>
  </si>
  <si>
    <t xml:space="preserve">12/09</t>
  </si>
  <si>
    <t xml:space="preserve">13/09</t>
  </si>
  <si>
    <t xml:space="preserve">14/09</t>
  </si>
  <si>
    <t xml:space="preserve">15/09</t>
  </si>
  <si>
    <t xml:space="preserve">16/09</t>
  </si>
  <si>
    <t xml:space="preserve">17/09</t>
  </si>
  <si>
    <t xml:space="preserve">18/09</t>
  </si>
  <si>
    <t xml:space="preserve">19/09</t>
  </si>
  <si>
    <t xml:space="preserve">20/09</t>
  </si>
  <si>
    <t xml:space="preserve">21/09</t>
  </si>
  <si>
    <t xml:space="preserve">22/09</t>
  </si>
  <si>
    <t xml:space="preserve">23/09</t>
  </si>
  <si>
    <t xml:space="preserve">24/09</t>
  </si>
  <si>
    <t xml:space="preserve">25/09</t>
  </si>
  <si>
    <t xml:space="preserve">26/09</t>
  </si>
  <si>
    <t xml:space="preserve">27/09</t>
  </si>
  <si>
    <t xml:space="preserve">28/09</t>
  </si>
  <si>
    <t xml:space="preserve">29/09</t>
  </si>
  <si>
    <t xml:space="preserve">30/09</t>
  </si>
  <si>
    <t xml:space="preserve">SỐ LƯỢNG</t>
  </si>
  <si>
    <t xml:space="preserve">KHỐI LƯỢNG</t>
  </si>
  <si>
    <t xml:space="preserve">GHI CHÚ</t>
  </si>
  <si>
    <t xml:space="preserve"> Lô 245</t>
  </si>
  <si>
    <t xml:space="preserve">Thép cuộn đen</t>
  </si>
  <si>
    <t xml:space="preserve">ok</t>
  </si>
  <si>
    <t xml:space="preserve"> Lô 257</t>
  </si>
  <si>
    <t xml:space="preserve"> Lô 259</t>
  </si>
  <si>
    <t xml:space="preserve">Thép cuộn inox</t>
  </si>
  <si>
    <t xml:space="preserve"> Lô 260</t>
  </si>
  <si>
    <t xml:space="preserve"> Lô 261</t>
  </si>
  <si>
    <t xml:space="preserve"> Lô 262</t>
  </si>
  <si>
    <t xml:space="preserve"> Lô 263</t>
  </si>
  <si>
    <t xml:space="preserve"> Lô 265</t>
  </si>
  <si>
    <t xml:space="preserve"> Lô 266</t>
  </si>
  <si>
    <t xml:space="preserve"> Lô 267</t>
  </si>
  <si>
    <t xml:space="preserve"> Lô 268</t>
  </si>
  <si>
    <t xml:space="preserve"> Lô 269</t>
  </si>
  <si>
    <t xml:space="preserve"> Lô 270</t>
  </si>
  <si>
    <t xml:space="preserve"> Lô 271</t>
  </si>
  <si>
    <t xml:space="preserve"> Lô 272</t>
  </si>
  <si>
    <t xml:space="preserve"> Lô 273</t>
  </si>
  <si>
    <t xml:space="preserve"> Lô 274</t>
  </si>
  <si>
    <t xml:space="preserve"> Lô 275</t>
  </si>
  <si>
    <t xml:space="preserve">TỔNG HỢP TỒN KHO 568</t>
  </si>
  <si>
    <t xml:space="preserve">SỐ LƯỢNG 10/09</t>
  </si>
  <si>
    <t xml:space="preserve">01/10</t>
  </si>
  <si>
    <t xml:space="preserve">02/10</t>
  </si>
  <si>
    <t xml:space="preserve">03/10</t>
  </si>
  <si>
    <t xml:space="preserve">04/10</t>
  </si>
  <si>
    <t xml:space="preserve">05/10</t>
  </si>
  <si>
    <t xml:space="preserve">06/10</t>
  </si>
  <si>
    <t xml:space="preserve">07/10</t>
  </si>
  <si>
    <t xml:space="preserve">08/10</t>
  </si>
  <si>
    <t xml:space="preserve">09/10</t>
  </si>
  <si>
    <t xml:space="preserve">10/10</t>
  </si>
  <si>
    <t xml:space="preserve">11/10</t>
  </si>
  <si>
    <t xml:space="preserve">Lô 363</t>
  </si>
  <si>
    <t xml:space="preserve">Lô 368</t>
  </si>
  <si>
    <t xml:space="preserve">Lô 370</t>
  </si>
  <si>
    <t xml:space="preserve">Lô 374</t>
  </si>
  <si>
    <t xml:space="preserve">Thép tấm</t>
  </si>
  <si>
    <t xml:space="preserve">Lô 381</t>
  </si>
  <si>
    <t xml:space="preserve">Lô 382</t>
  </si>
  <si>
    <t xml:space="preserve">Lô 383</t>
  </si>
  <si>
    <t xml:space="preserve">Lô 384</t>
  </si>
  <si>
    <t xml:space="preserve">Lô 385</t>
  </si>
  <si>
    <t xml:space="preserve">  </t>
  </si>
  <si>
    <t xml:space="preserve">Lô 387</t>
  </si>
  <si>
    <t xml:space="preserve">Lô 388</t>
  </si>
  <si>
    <t xml:space="preserve">Lô 389</t>
  </si>
  <si>
    <t xml:space="preserve">Lô 390</t>
  </si>
  <si>
    <t xml:space="preserve">Lô 391</t>
  </si>
  <si>
    <t xml:space="preserve">Lô 392</t>
  </si>
  <si>
    <t xml:space="preserve">Lô 393</t>
  </si>
  <si>
    <t xml:space="preserve">Lô 394</t>
  </si>
  <si>
    <t xml:space="preserve">Lô 395</t>
  </si>
  <si>
    <t xml:space="preserve">Lô 396</t>
  </si>
  <si>
    <t xml:space="preserve">Lô 397</t>
  </si>
  <si>
    <t xml:space="preserve">Lô 398</t>
  </si>
  <si>
    <t xml:space="preserve">Lô 399</t>
  </si>
  <si>
    <t xml:space="preserve">Lô 400</t>
  </si>
  <si>
    <t xml:space="preserve">Lô 401</t>
  </si>
  <si>
    <t xml:space="preserve">Lô 402</t>
  </si>
  <si>
    <t xml:space="preserve">Lô 403</t>
  </si>
  <si>
    <t xml:space="preserve">Lô 404</t>
  </si>
  <si>
    <t xml:space="preserve">Lô 405</t>
  </si>
  <si>
    <t xml:space="preserve">Lô 406</t>
  </si>
  <si>
    <t xml:space="preserve">Lô 407</t>
  </si>
  <si>
    <t xml:space="preserve">Lô 408</t>
  </si>
  <si>
    <t xml:space="preserve">Lô 409</t>
  </si>
  <si>
    <t xml:space="preserve">Lô 410</t>
  </si>
  <si>
    <t xml:space="preserve">Lô 411</t>
  </si>
  <si>
    <t xml:space="preserve">Lô 412</t>
  </si>
  <si>
    <t xml:space="preserve">Lô 413</t>
  </si>
  <si>
    <t xml:space="preserve">Lô 414</t>
  </si>
  <si>
    <t xml:space="preserve">Lô 415</t>
  </si>
  <si>
    <t xml:space="preserve">Lô 416</t>
  </si>
  <si>
    <t xml:space="preserve">Lô 417</t>
  </si>
  <si>
    <t xml:space="preserve">Thép cán nóng</t>
  </si>
  <si>
    <t xml:space="preserve">Lô 418</t>
  </si>
  <si>
    <t xml:space="preserve">Thép cuộn Inox</t>
  </si>
  <si>
    <t xml:space="preserve">Lô 419</t>
  </si>
  <si>
    <t xml:space="preserve">Lô 420</t>
  </si>
  <si>
    <t xml:space="preserve">Lô 421</t>
  </si>
  <si>
    <t xml:space="preserve">Lô 422</t>
  </si>
  <si>
    <t xml:space="preserve">Lô 423</t>
  </si>
  <si>
    <t xml:space="preserve">Lô 424</t>
  </si>
  <si>
    <t xml:space="preserve">Lô 425</t>
  </si>
  <si>
    <t xml:space="preserve">Lô 426</t>
  </si>
  <si>
    <t xml:space="preserve">Lô 427</t>
  </si>
  <si>
    <t xml:space="preserve">TỔNG HỢP TỒN KHO CỔ PHẦN NAM PHÁT</t>
  </si>
  <si>
    <t xml:space="preserve">Tồn cuối</t>
  </si>
  <si>
    <t xml:space="preserve">Lô 209</t>
  </si>
  <si>
    <t xml:space="preserve">Lô 217</t>
  </si>
  <si>
    <t xml:space="preserve">Lô 218</t>
  </si>
  <si>
    <t xml:space="preserve">Lô 219</t>
  </si>
  <si>
    <t xml:space="preserve">Lô 220</t>
  </si>
  <si>
    <t xml:space="preserve">Lô 223</t>
  </si>
  <si>
    <t xml:space="preserve">Lô 224</t>
  </si>
  <si>
    <t xml:space="preserve">Lô 225</t>
  </si>
  <si>
    <t xml:space="preserve">Lô 226</t>
  </si>
  <si>
    <t xml:space="preserve">Lô 227</t>
  </si>
  <si>
    <t xml:space="preserve">Lô 228</t>
  </si>
  <si>
    <t xml:space="preserve">Lô 230</t>
  </si>
  <si>
    <t xml:space="preserve">Lô 231</t>
  </si>
  <si>
    <t xml:space="preserve">Lô 232</t>
  </si>
  <si>
    <t xml:space="preserve">lô 233</t>
  </si>
  <si>
    <t xml:space="preserve">TỔNG HỢP TỒN KHO VTB</t>
  </si>
  <si>
    <t xml:space="preserve">Lô 180</t>
  </si>
  <si>
    <t xml:space="preserve">Lô 184</t>
  </si>
  <si>
    <t xml:space="preserve">Lô 185</t>
  </si>
  <si>
    <t xml:space="preserve">Lô 192</t>
  </si>
  <si>
    <t xml:space="preserve">Lô 193</t>
  </si>
  <si>
    <t xml:space="preserve">Lô 196</t>
  </si>
  <si>
    <t xml:space="preserve">Lô 198</t>
  </si>
  <si>
    <t xml:space="preserve">Lô 200</t>
  </si>
  <si>
    <t xml:space="preserve">Lô 201</t>
  </si>
  <si>
    <t xml:space="preserve">Lô 204</t>
  </si>
  <si>
    <t xml:space="preserve">Lô 208</t>
  </si>
  <si>
    <t xml:space="preserve">Lô 210</t>
  </si>
  <si>
    <t xml:space="preserve">Lô 211</t>
  </si>
  <si>
    <t xml:space="preserve">Lô 212</t>
  </si>
  <si>
    <t xml:space="preserve">TỔNG HỢP TỒN KHO VIỆT NHẬT</t>
  </si>
  <si>
    <t xml:space="preserve">Thép cuộn</t>
  </si>
  <si>
    <t xml:space="preserve">Kiện kẽm</t>
  </si>
  <si>
    <t xml:space="preserve">Lô 179</t>
  </si>
  <si>
    <t xml:space="preserve">TỔNG HỢP TỒN KHO THUẬN PHÁT</t>
  </si>
  <si>
    <t xml:space="preserve">Thép cuộn MK</t>
  </si>
  <si>
    <t xml:space="preserve">TỔNG HỢP TỒN KHO ĐIỀU HÒA GREEN AIR</t>
  </si>
  <si>
    <t xml:space="preserve">Model </t>
  </si>
  <si>
    <t xml:space="preserve">SỐ LƯỢNG ( bộ )</t>
  </si>
  <si>
    <t xml:space="preserve">SRK09CTR-S5</t>
  </si>
  <si>
    <t xml:space="preserve">SRK12CT-S5</t>
  </si>
  <si>
    <t xml:space="preserve">SRK10YZP-W5</t>
  </si>
  <si>
    <t xml:space="preserve">CFS- 10VGXF</t>
  </si>
  <si>
    <t xml:space="preserve">CFS- 13VGXF</t>
  </si>
  <si>
    <t xml:space="preserve">CFS- 18VGXF</t>
  </si>
  <si>
    <t xml:space="preserve">CFS- 09FGYF</t>
  </si>
  <si>
    <t xml:space="preserve">CFS- 12FGYF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</si>
</sst>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#,##0_ "/>
    <numFmt numFmtId="167" formatCode="#,##0;\-#,##0;0"/>
    <numFmt numFmtId="168" formatCode="_(* #,##0_);_(* \(#,##0\);_(* \-??_);_(@_)"/>
    <numFmt numFmtId="169" formatCode="@"/>
    <numFmt numFmtId="170" formatCode="#,##0"/>
    <numFmt numFmtId="171" formatCode="d\-mmm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Times New Roman"/>
      <family val="2"/>
      <charset val="1"/>
    </font>
    <font>
      <sz val="11"/>
      <color theme="1"/>
      <name val="Calibri"/>
      <family val="2"/>
      <charset val="134"/>
    </font>
    <font>
      <sz val="12"/>
      <name val="宋体"/>
      <family val="0"/>
      <charset val="134"/>
    </font>
    <font>
      <sz val="11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1"/>
      <color theme="1"/>
      <name val="Calibri"/>
      <family val="3"/>
      <charset val="128"/>
    </font>
    <font>
      <sz val="11"/>
      <color theme="1"/>
      <name val="ＭＳ Ｐゴシック"/>
      <family val="3"/>
      <charset val="128"/>
    </font>
    <font>
      <sz val="12"/>
      <name val="바탕체"/>
      <family val="1"/>
      <charset val="129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1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2"/>
      <color rgb="FFFF0000"/>
      <name val="Times New Roman"/>
      <family val="1"/>
      <charset val="1"/>
    </font>
    <font>
      <sz val="11"/>
      <color rgb="FFFF0000"/>
      <name val="Calibri"/>
      <family val="2"/>
      <charset val="1"/>
    </font>
    <font>
      <b val="true"/>
      <sz val="11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FDEAD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9" tint="0.7999"/>
        <bgColor rgb="FFF2F2F2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4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1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4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5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6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5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5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5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5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4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3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1 5 2 2" xfId="20"/>
    <cellStyle name="Comma 13" xfId="21"/>
    <cellStyle name="Comma 13 2" xfId="22"/>
    <cellStyle name="Comma 13 2 2" xfId="23"/>
    <cellStyle name="Comma 13 2 2 3" xfId="24"/>
    <cellStyle name="Comma 17" xfId="25"/>
    <cellStyle name="Comma 2" xfId="26"/>
    <cellStyle name="Comma 2 2" xfId="27"/>
    <cellStyle name="Comma 2 2 2" xfId="28"/>
    <cellStyle name="Comma 2 2 2 4" xfId="29"/>
    <cellStyle name="Normal 10" xfId="30"/>
    <cellStyle name="Normal 11 2" xfId="31"/>
    <cellStyle name="Normal 12" xfId="32"/>
    <cellStyle name="Normal 14 2" xfId="33"/>
    <cellStyle name="Normal 15 2 27" xfId="34"/>
    <cellStyle name="Normal 2" xfId="35"/>
    <cellStyle name="Normal 94 3 2" xfId="36"/>
    <cellStyle name="常规 2" xfId="37"/>
    <cellStyle name="常规_Sheet1" xfId="38"/>
    <cellStyle name="標準 2" xfId="39"/>
    <cellStyle name="標準 2 2" xfId="40"/>
    <cellStyle name="標準 2 2 3" xfId="41"/>
    <cellStyle name="標準 2 5" xfId="42"/>
    <cellStyle name="標準 3" xfId="43"/>
    <cellStyle name="標準 4" xfId="44"/>
    <cellStyle name="표준_신-CI&amp;PL9" xfId="4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1</v>
      </c>
      <c r="B5" s="5" t="s">
        <v>6</v>
      </c>
      <c r="C5" s="6" t="n">
        <f aca="false">SUMIF('thien son'!$C$3:$C$100,"Thép cuộn inox",'thien son'!$Y$3:$Y$100)</f>
        <v>450</v>
      </c>
      <c r="D5" s="6" t="n">
        <f aca="false">SUMIF('thien son'!$C$3:$C$100,"Thép cuộn inox",'thien son'!$Z$3:$Z$100)</f>
        <v>9736170</v>
      </c>
    </row>
    <row r="6" customFormat="false" ht="15" hidden="false" customHeight="false" outlineLevel="0" collapsed="false">
      <c r="A6" s="4" t="n">
        <v>2</v>
      </c>
      <c r="B6" s="5" t="s">
        <v>7</v>
      </c>
      <c r="C6" s="6" t="n">
        <f aca="false">SUMIF('thien son'!$C$3:$C$100,"Thép cuộn đen",'thien son'!$Y$3:$Y$100)</f>
        <v>235</v>
      </c>
      <c r="D6" s="6" t="n">
        <f aca="false">SUMIF('thien son'!$C$3:$C$100,"Thép cuộn đen",'thien son'!$Z$3:$Z$100)</f>
        <v>3350995</v>
      </c>
    </row>
    <row r="7" customFormat="false" ht="15" hidden="false" customHeight="false" outlineLevel="0" collapsed="false">
      <c r="A7" s="7"/>
      <c r="B7" s="8" t="s">
        <v>8</v>
      </c>
      <c r="C7" s="9" t="n">
        <f aca="false">SUM(C5:C6)</f>
        <v>685</v>
      </c>
      <c r="D7" s="9" t="n">
        <f aca="false">SUM(D5:D6)</f>
        <v>13087165</v>
      </c>
      <c r="E7" s="10" t="str">
        <f aca="false">IF(C7=SUM('thien son'!$Y$3:$Y$100),"Khớp sheet thien son","LỆCH – kiểm tra loại hàng")</f>
        <v>Khớp sheet thien son</v>
      </c>
    </row>
    <row r="9" customFormat="false" ht="15" hidden="false" customHeight="false" outlineLevel="0" collapsed="false">
      <c r="A9" s="2" t="s">
        <v>9</v>
      </c>
    </row>
    <row r="10" customFormat="false" ht="15" hidden="false" customHeight="false" outlineLevel="0" collapsed="false">
      <c r="A10" s="3" t="s">
        <v>2</v>
      </c>
      <c r="B10" s="3" t="s">
        <v>3</v>
      </c>
      <c r="C10" s="3" t="s">
        <v>10</v>
      </c>
      <c r="D10" s="3" t="s">
        <v>11</v>
      </c>
      <c r="E10" s="3" t="s">
        <v>12</v>
      </c>
    </row>
    <row r="11" customFormat="false" ht="15" hidden="false" customHeight="false" outlineLevel="0" collapsed="false">
      <c r="A11" s="4" t="n">
        <v>1</v>
      </c>
      <c r="B11" s="5" t="s">
        <v>6</v>
      </c>
      <c r="C11" s="6" t="n">
        <f aca="false">SUMIFS($D$20:$D$70,$C$20:$C$70,"Thép cuộn inox",$F$20:$F$70,"568")</f>
        <v>0</v>
      </c>
      <c r="D11" s="6" t="n">
        <f aca="false">SUMIFS($D$20:$D$70,$C$20:$C$70,"Thép cuộn inox",$F$20:$F$70,"CPNP")</f>
        <v>968</v>
      </c>
      <c r="E11" s="6" t="n">
        <f aca="false">C11+D11</f>
        <v>968</v>
      </c>
    </row>
    <row r="12" customFormat="false" ht="15" hidden="false" customHeight="false" outlineLevel="0" collapsed="false">
      <c r="A12" s="4" t="n">
        <v>2</v>
      </c>
      <c r="B12" s="5" t="s">
        <v>7</v>
      </c>
      <c r="C12" s="6" t="n">
        <f aca="false">SUMIFS($D$20:$D$70,$C$20:$C$70,"Thép cuộn đen",$F$20:$F$70,"568")</f>
        <v>687</v>
      </c>
      <c r="D12" s="6" t="n">
        <f aca="false">SUMIFS($D$20:$D$70,$C$20:$C$70,"Thép cuộn đen",$F$20:$F$70,"CPNP")</f>
        <v>50</v>
      </c>
      <c r="E12" s="6" t="n">
        <f aca="false">C12+D12</f>
        <v>737</v>
      </c>
    </row>
    <row r="13" customFormat="false" ht="15" hidden="false" customHeight="false" outlineLevel="0" collapsed="false">
      <c r="A13" s="4" t="n">
        <v>3</v>
      </c>
      <c r="B13" s="5" t="s">
        <v>13</v>
      </c>
      <c r="C13" s="6" t="n">
        <f aca="false">SUMIFS($D$20:$D$70,$C$20:$C$70,"Thép cán nóng",$F$20:$F$70,"568")</f>
        <v>224</v>
      </c>
      <c r="D13" s="6" t="n">
        <f aca="false">SUMIFS($D$20:$D$70,$C$20:$C$70,"Thép cán nóng",$F$20:$F$70,"CPNP")</f>
        <v>259</v>
      </c>
      <c r="E13" s="6" t="n">
        <f aca="false">C13+D13</f>
        <v>483</v>
      </c>
    </row>
    <row r="14" customFormat="false" ht="15" hidden="false" customHeight="false" outlineLevel="0" collapsed="false">
      <c r="A14" s="7"/>
      <c r="B14" s="8" t="s">
        <v>14</v>
      </c>
      <c r="C14" s="9" t="n">
        <f aca="false">SUM(C11:C13)</f>
        <v>911</v>
      </c>
      <c r="D14" s="9" t="n">
        <f aca="false">SUM(D11:D13)</f>
        <v>1277</v>
      </c>
      <c r="E14" s="9" t="n">
        <f aca="false">SUM(E11:E13)</f>
        <v>2188</v>
      </c>
    </row>
    <row r="15" customFormat="false" ht="15" hidden="false" customHeight="false" outlineLevel="0" collapsed="false">
      <c r="A15" s="4"/>
      <c r="B15" s="5" t="s">
        <v>15</v>
      </c>
      <c r="C15" s="6" t="n">
        <f aca="false">SUMIFS($D$20:$D$70,$C$20:$C$70,"Thép tấm",$F$20:$F$70,"568")</f>
        <v>1080</v>
      </c>
      <c r="D15" s="6" t="n">
        <f aca="false">SUMIFS($D$20:$D$70,$C$20:$C$70,"Thép tấm",$F$20:$F$70,"CPNP")</f>
        <v>1330</v>
      </c>
      <c r="E15" s="6" t="n">
        <f aca="false">C15+D15</f>
        <v>2410</v>
      </c>
    </row>
    <row r="16" customFormat="false" ht="15" hidden="false" customHeight="false" outlineLevel="0" collapsed="false">
      <c r="A16" s="4"/>
      <c r="B16" s="5" t="s">
        <v>16</v>
      </c>
      <c r="C16" s="6" t="n">
        <f aca="false">SUMIFS($E$20:$E$70,$F$20:$F$70,"568")</f>
        <v>30517237</v>
      </c>
      <c r="D16" s="6" t="n">
        <f aca="false">SUMIFS($E$20:$E$70,$F$20:$F$70,"CPNP")</f>
        <v>34149570</v>
      </c>
      <c r="E16" s="6" t="n">
        <f aca="false">C16+D16</f>
        <v>64666807</v>
      </c>
    </row>
    <row r="17" customFormat="false" ht="27.75" hidden="false" customHeight="true" outlineLevel="0" collapsed="false">
      <c r="A17" s="11" t="s">
        <v>17</v>
      </c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2" t="s">
        <v>18</v>
      </c>
    </row>
    <row r="19" customFormat="false" ht="15" hidden="false" customHeight="false" outlineLevel="0" collapsed="false">
      <c r="A19" s="3" t="s">
        <v>2</v>
      </c>
      <c r="B19" s="3" t="s">
        <v>19</v>
      </c>
      <c r="C19" s="3" t="s">
        <v>3</v>
      </c>
      <c r="D19" s="3" t="s">
        <v>20</v>
      </c>
      <c r="E19" s="3" t="s">
        <v>5</v>
      </c>
      <c r="F19" s="3" t="s">
        <v>21</v>
      </c>
    </row>
    <row r="20" customFormat="false" ht="15" hidden="false" customHeight="false" outlineLevel="0" collapsed="false">
      <c r="A20" s="4" t="n">
        <v>1</v>
      </c>
      <c r="B20" s="5" t="str">
        <f aca="false">'568'!B3</f>
        <v>Lô 363</v>
      </c>
      <c r="C20" s="6" t="str">
        <f aca="false">TRIM('568'!C3)</f>
        <v>Thép cuộn đen</v>
      </c>
      <c r="D20" s="6" t="n">
        <f aca="false">'568'!E3</f>
        <v>76</v>
      </c>
      <c r="E20" s="6" t="n">
        <f aca="false">'568'!AK3</f>
        <v>3209810</v>
      </c>
      <c r="F20" s="12" t="s">
        <v>22</v>
      </c>
    </row>
    <row r="21" customFormat="false" ht="15" hidden="false" customHeight="false" outlineLevel="0" collapsed="false">
      <c r="A21" s="4" t="n">
        <v>2</v>
      </c>
      <c r="B21" s="5" t="str">
        <f aca="false">'568'!B4</f>
        <v>Lô 368</v>
      </c>
      <c r="C21" s="6" t="str">
        <f aca="false">TRIM('568'!C4)</f>
        <v>Thép cuộn đen</v>
      </c>
      <c r="D21" s="6" t="n">
        <f aca="false">'568'!E4</f>
        <v>64</v>
      </c>
      <c r="E21" s="6" t="n">
        <f aca="false">'568'!AK4</f>
        <v>1890970</v>
      </c>
      <c r="F21" s="12" t="s">
        <v>22</v>
      </c>
    </row>
    <row r="22" customFormat="false" ht="15" hidden="false" customHeight="false" outlineLevel="0" collapsed="false">
      <c r="A22" s="4" t="n">
        <v>3</v>
      </c>
      <c r="B22" s="5" t="str">
        <f aca="false">'568'!B5</f>
        <v>Lô 370</v>
      </c>
      <c r="C22" s="6" t="str">
        <f aca="false">TRIM('568'!C5)</f>
        <v>Thép cuộn đen</v>
      </c>
      <c r="D22" s="6" t="n">
        <f aca="false">'568'!E5</f>
        <v>100</v>
      </c>
      <c r="E22" s="6" t="n">
        <f aca="false">'568'!AK5</f>
        <v>2975720</v>
      </c>
      <c r="F22" s="12" t="s">
        <v>22</v>
      </c>
    </row>
    <row r="23" customFormat="false" ht="15" hidden="false" customHeight="false" outlineLevel="0" collapsed="false">
      <c r="A23" s="4" t="n">
        <v>4</v>
      </c>
      <c r="B23" s="5" t="str">
        <f aca="false">'568'!B6</f>
        <v>Lô 374</v>
      </c>
      <c r="C23" s="6" t="str">
        <f aca="false">TRIM('568'!C6)</f>
        <v>Thép tấm</v>
      </c>
      <c r="D23" s="6" t="n">
        <f aca="false">'568'!E6</f>
        <v>1080</v>
      </c>
      <c r="E23" s="6" t="n">
        <f aca="false">'568'!AK6</f>
        <v>2024358</v>
      </c>
      <c r="F23" s="12" t="s">
        <v>22</v>
      </c>
    </row>
    <row r="24" customFormat="false" ht="15" hidden="false" customHeight="false" outlineLevel="0" collapsed="false">
      <c r="A24" s="4" t="n">
        <v>5</v>
      </c>
      <c r="B24" s="5" t="str">
        <f aca="false">'568'!B7</f>
        <v>Lô 381</v>
      </c>
      <c r="C24" s="6" t="str">
        <f aca="false">TRIM('568'!C7)</f>
        <v>Thép cuộn đen</v>
      </c>
      <c r="D24" s="6" t="n">
        <f aca="false">'568'!E7</f>
        <v>35</v>
      </c>
      <c r="E24" s="6" t="n">
        <f aca="false">'568'!AK7</f>
        <v>2919555</v>
      </c>
      <c r="F24" s="12" t="s">
        <v>22</v>
      </c>
    </row>
    <row r="25" customFormat="false" ht="15" hidden="false" customHeight="false" outlineLevel="0" collapsed="false">
      <c r="A25" s="4" t="n">
        <v>6</v>
      </c>
      <c r="B25" s="5" t="str">
        <f aca="false">'568'!B8</f>
        <v>Lô 382</v>
      </c>
      <c r="C25" s="6" t="str">
        <f aca="false">TRIM('568'!C8)</f>
        <v>Thép cuộn inox</v>
      </c>
      <c r="D25" s="6" t="n">
        <f aca="false">'568'!E8</f>
        <v>0</v>
      </c>
      <c r="E25" s="6" t="n">
        <f aca="false">'568'!AK8</f>
        <v>286905</v>
      </c>
      <c r="F25" s="12" t="s">
        <v>23</v>
      </c>
    </row>
    <row r="26" customFormat="false" ht="15" hidden="false" customHeight="false" outlineLevel="0" collapsed="false">
      <c r="A26" s="4" t="n">
        <v>7</v>
      </c>
      <c r="B26" s="5" t="str">
        <f aca="false">'568'!B9</f>
        <v>Lô 383</v>
      </c>
      <c r="C26" s="6" t="str">
        <f aca="false">TRIM('568'!C9)</f>
        <v>Thép cuộn inox</v>
      </c>
      <c r="D26" s="6" t="n">
        <f aca="false">'568'!E9</f>
        <v>0</v>
      </c>
      <c r="E26" s="6" t="n">
        <f aca="false">'568'!AK9</f>
        <v>740890</v>
      </c>
      <c r="F26" s="12" t="s">
        <v>23</v>
      </c>
    </row>
    <row r="27" customFormat="false" ht="15" hidden="false" customHeight="false" outlineLevel="0" collapsed="false">
      <c r="A27" s="4" t="n">
        <v>8</v>
      </c>
      <c r="B27" s="5" t="str">
        <f aca="false">'568'!B10</f>
        <v>Lô 384</v>
      </c>
      <c r="C27" s="6" t="str">
        <f aca="false">TRIM('568'!C10)</f>
        <v>Thép cuộn inox</v>
      </c>
      <c r="D27" s="6" t="n">
        <f aca="false">'568'!E10</f>
        <v>2</v>
      </c>
      <c r="E27" s="6" t="n">
        <f aca="false">'568'!AK10</f>
        <v>718760</v>
      </c>
      <c r="F27" s="12" t="s">
        <v>23</v>
      </c>
    </row>
    <row r="28" customFormat="false" ht="15" hidden="false" customHeight="false" outlineLevel="0" collapsed="false">
      <c r="A28" s="4" t="n">
        <v>9</v>
      </c>
      <c r="B28" s="5" t="str">
        <f aca="false">'568'!B11</f>
        <v>Lô 385</v>
      </c>
      <c r="C28" s="6" t="str">
        <f aca="false">TRIM('568'!C11)</f>
        <v>Thép cuộn inox</v>
      </c>
      <c r="D28" s="6" t="n">
        <f aca="false">'568'!E11</f>
        <v>0</v>
      </c>
      <c r="E28" s="6" t="n">
        <f aca="false">'568'!AK11</f>
        <v>718185</v>
      </c>
      <c r="F28" s="12" t="s">
        <v>23</v>
      </c>
    </row>
    <row r="29" customFormat="false" ht="15" hidden="false" customHeight="false" outlineLevel="0" collapsed="false">
      <c r="A29" s="4" t="n">
        <v>10</v>
      </c>
      <c r="B29" s="5" t="str">
        <f aca="false">'568'!B12</f>
        <v>Lô 387</v>
      </c>
      <c r="C29" s="6" t="str">
        <f aca="false">TRIM('568'!C12)</f>
        <v>Thép cuộn inox</v>
      </c>
      <c r="D29" s="6" t="n">
        <f aca="false">'568'!E12</f>
        <v>27</v>
      </c>
      <c r="E29" s="6" t="n">
        <f aca="false">'568'!AK12</f>
        <v>574360</v>
      </c>
      <c r="F29" s="12" t="s">
        <v>23</v>
      </c>
    </row>
    <row r="30" customFormat="false" ht="15" hidden="false" customHeight="false" outlineLevel="0" collapsed="false">
      <c r="A30" s="4" t="n">
        <v>11</v>
      </c>
      <c r="B30" s="5" t="str">
        <f aca="false">'568'!B13</f>
        <v>Lô 388</v>
      </c>
      <c r="C30" s="6" t="str">
        <f aca="false">TRIM('568'!C13)</f>
        <v>Thép cuộn đen</v>
      </c>
      <c r="D30" s="6" t="n">
        <f aca="false">'568'!E13</f>
        <v>103</v>
      </c>
      <c r="E30" s="6" t="n">
        <f aca="false">'568'!AK13</f>
        <v>3020650</v>
      </c>
      <c r="F30" s="12" t="s">
        <v>22</v>
      </c>
    </row>
    <row r="31" customFormat="false" ht="15" hidden="false" customHeight="false" outlineLevel="0" collapsed="false">
      <c r="A31" s="4" t="n">
        <v>12</v>
      </c>
      <c r="B31" s="5" t="str">
        <f aca="false">'568'!B14</f>
        <v>Lô 389</v>
      </c>
      <c r="C31" s="6" t="str">
        <f aca="false">TRIM('568'!C14)</f>
        <v>Thép cuộn inox</v>
      </c>
      <c r="D31" s="6" t="n">
        <f aca="false">'568'!E14</f>
        <v>36</v>
      </c>
      <c r="E31" s="6" t="n">
        <f aca="false">'568'!AK14</f>
        <v>775910</v>
      </c>
      <c r="F31" s="12" t="s">
        <v>23</v>
      </c>
    </row>
    <row r="32" customFormat="false" ht="15" hidden="false" customHeight="false" outlineLevel="0" collapsed="false">
      <c r="A32" s="4" t="n">
        <v>13</v>
      </c>
      <c r="B32" s="5" t="str">
        <f aca="false">'568'!B15</f>
        <v>Lô 390</v>
      </c>
      <c r="C32" s="6" t="str">
        <f aca="false">TRIM('568'!C15)</f>
        <v>Thép cuộn inox</v>
      </c>
      <c r="D32" s="6" t="n">
        <f aca="false">'568'!E15</f>
        <v>45</v>
      </c>
      <c r="E32" s="6" t="n">
        <f aca="false">'568'!AK15</f>
        <v>970680</v>
      </c>
      <c r="F32" s="12" t="s">
        <v>23</v>
      </c>
    </row>
    <row r="33" customFormat="false" ht="15" hidden="false" customHeight="false" outlineLevel="0" collapsed="false">
      <c r="A33" s="4" t="n">
        <v>14</v>
      </c>
      <c r="B33" s="5" t="str">
        <f aca="false">'568'!B16</f>
        <v>Lô 391</v>
      </c>
      <c r="C33" s="6" t="str">
        <f aca="false">TRIM('568'!C16)</f>
        <v>Thép cuộn inox</v>
      </c>
      <c r="D33" s="6" t="n">
        <f aca="false">'568'!E16</f>
        <v>35</v>
      </c>
      <c r="E33" s="6" t="n">
        <f aca="false">'568'!AK16</f>
        <v>750910</v>
      </c>
      <c r="F33" s="12" t="s">
        <v>23</v>
      </c>
    </row>
    <row r="34" customFormat="false" ht="15" hidden="false" customHeight="false" outlineLevel="0" collapsed="false">
      <c r="A34" s="4" t="n">
        <v>15</v>
      </c>
      <c r="B34" s="5" t="str">
        <f aca="false">'568'!B17</f>
        <v>Lô 392</v>
      </c>
      <c r="C34" s="6" t="str">
        <f aca="false">TRIM('568'!C17)</f>
        <v>Thép cuộn inox</v>
      </c>
      <c r="D34" s="6" t="n">
        <f aca="false">'568'!E17</f>
        <v>40</v>
      </c>
      <c r="E34" s="6" t="n">
        <f aca="false">'568'!AK17</f>
        <v>875975</v>
      </c>
      <c r="F34" s="12" t="s">
        <v>23</v>
      </c>
    </row>
    <row r="35" customFormat="false" ht="15" hidden="false" customHeight="false" outlineLevel="0" collapsed="false">
      <c r="A35" s="4" t="n">
        <v>16</v>
      </c>
      <c r="B35" s="5" t="str">
        <f aca="false">'568'!B18</f>
        <v>Lô 393</v>
      </c>
      <c r="C35" s="6" t="str">
        <f aca="false">TRIM('568'!C18)</f>
        <v>Thép cuộn inox</v>
      </c>
      <c r="D35" s="6" t="n">
        <f aca="false">'568'!E18</f>
        <v>44</v>
      </c>
      <c r="E35" s="6" t="n">
        <f aca="false">'568'!AK18</f>
        <v>950225</v>
      </c>
      <c r="F35" s="12" t="s">
        <v>23</v>
      </c>
    </row>
    <row r="36" customFormat="false" ht="15" hidden="false" customHeight="false" outlineLevel="0" collapsed="false">
      <c r="A36" s="4" t="n">
        <v>17</v>
      </c>
      <c r="B36" s="5" t="str">
        <f aca="false">'568'!B19</f>
        <v>Lô 394</v>
      </c>
      <c r="C36" s="6" t="str">
        <f aca="false">TRIM('568'!C19)</f>
        <v>Thép cuộn inox</v>
      </c>
      <c r="D36" s="6" t="n">
        <f aca="false">'568'!E19</f>
        <v>35</v>
      </c>
      <c r="E36" s="6" t="n">
        <f aca="false">'568'!AK19</f>
        <v>754980</v>
      </c>
      <c r="F36" s="12" t="s">
        <v>23</v>
      </c>
    </row>
    <row r="37" customFormat="false" ht="15" hidden="false" customHeight="false" outlineLevel="0" collapsed="false">
      <c r="A37" s="4" t="n">
        <v>18</v>
      </c>
      <c r="B37" s="5" t="str">
        <f aca="false">'568'!B20</f>
        <v>Lô 395</v>
      </c>
      <c r="C37" s="6" t="str">
        <f aca="false">TRIM('568'!C20)</f>
        <v>Thép cuộn inox</v>
      </c>
      <c r="D37" s="6" t="n">
        <f aca="false">'568'!E20</f>
        <v>26</v>
      </c>
      <c r="E37" s="6" t="n">
        <f aca="false">'568'!AK20</f>
        <v>566520</v>
      </c>
      <c r="F37" s="12" t="s">
        <v>23</v>
      </c>
    </row>
    <row r="38" customFormat="false" ht="15" hidden="false" customHeight="false" outlineLevel="0" collapsed="false">
      <c r="A38" s="4" t="n">
        <v>19</v>
      </c>
      <c r="B38" s="5" t="str">
        <f aca="false">'568'!B21</f>
        <v>Lô 396</v>
      </c>
      <c r="C38" s="6" t="str">
        <f aca="false">TRIM('568'!C21)</f>
        <v>Thép cuộn inox</v>
      </c>
      <c r="D38" s="6" t="n">
        <f aca="false">'568'!E21</f>
        <v>24</v>
      </c>
      <c r="E38" s="6" t="n">
        <f aca="false">'568'!AK21</f>
        <v>527960</v>
      </c>
      <c r="F38" s="12" t="s">
        <v>23</v>
      </c>
    </row>
    <row r="39" customFormat="false" ht="15" hidden="false" customHeight="false" outlineLevel="0" collapsed="false">
      <c r="A39" s="4" t="n">
        <v>20</v>
      </c>
      <c r="B39" s="5" t="str">
        <f aca="false">'568'!B22</f>
        <v>Lô 397</v>
      </c>
      <c r="C39" s="6" t="str">
        <f aca="false">TRIM('568'!C22)</f>
        <v>Thép cuộn inox</v>
      </c>
      <c r="D39" s="6" t="n">
        <f aca="false">'568'!E22</f>
        <v>33</v>
      </c>
      <c r="E39" s="6" t="n">
        <f aca="false">'568'!AK22</f>
        <v>723945</v>
      </c>
      <c r="F39" s="12" t="s">
        <v>23</v>
      </c>
    </row>
    <row r="40" customFormat="false" ht="15" hidden="false" customHeight="false" outlineLevel="0" collapsed="false">
      <c r="A40" s="4" t="n">
        <v>21</v>
      </c>
      <c r="B40" s="5" t="str">
        <f aca="false">'568'!B23</f>
        <v>Lô 398</v>
      </c>
      <c r="C40" s="6" t="str">
        <f aca="false">TRIM('568'!C23)</f>
        <v>Thép cuộn inox</v>
      </c>
      <c r="D40" s="6" t="n">
        <f aca="false">'568'!E23</f>
        <v>34</v>
      </c>
      <c r="E40" s="6" t="n">
        <f aca="false">'568'!AK23</f>
        <v>739600</v>
      </c>
      <c r="F40" s="12" t="s">
        <v>23</v>
      </c>
    </row>
    <row r="41" customFormat="false" ht="15" hidden="false" customHeight="false" outlineLevel="0" collapsed="false">
      <c r="A41" s="4" t="n">
        <v>22</v>
      </c>
      <c r="B41" s="5" t="str">
        <f aca="false">'568'!B24</f>
        <v>Lô 399</v>
      </c>
      <c r="C41" s="6" t="str">
        <f aca="false">TRIM('568'!C24)</f>
        <v>Thép cuộn inox</v>
      </c>
      <c r="D41" s="6" t="n">
        <f aca="false">'568'!E24</f>
        <v>35</v>
      </c>
      <c r="E41" s="6" t="n">
        <f aca="false">'568'!AK24</f>
        <v>764880</v>
      </c>
      <c r="F41" s="12" t="s">
        <v>23</v>
      </c>
    </row>
    <row r="42" customFormat="false" ht="15" hidden="false" customHeight="false" outlineLevel="0" collapsed="false">
      <c r="A42" s="4" t="n">
        <v>23</v>
      </c>
      <c r="B42" s="5" t="str">
        <f aca="false">'568'!B25</f>
        <v>Lô 400</v>
      </c>
      <c r="C42" s="6" t="str">
        <f aca="false">TRIM('568'!C25)</f>
        <v>Thép cuộn inox</v>
      </c>
      <c r="D42" s="6" t="n">
        <f aca="false">'568'!E25</f>
        <v>7</v>
      </c>
      <c r="E42" s="6" t="n">
        <f aca="false">'568'!AK25</f>
        <v>158315</v>
      </c>
      <c r="F42" s="12" t="s">
        <v>23</v>
      </c>
    </row>
    <row r="43" customFormat="false" ht="15" hidden="false" customHeight="false" outlineLevel="0" collapsed="false">
      <c r="A43" s="4" t="n">
        <v>24</v>
      </c>
      <c r="B43" s="5" t="str">
        <f aca="false">'568'!B25</f>
        <v>Lô 400</v>
      </c>
      <c r="C43" s="6" t="str">
        <f aca="false">TRIM('568'!C26)</f>
        <v>Thép cuộn đen</v>
      </c>
      <c r="D43" s="6" t="n">
        <f aca="false">'568'!E26</f>
        <v>50</v>
      </c>
      <c r="E43" s="6" t="n">
        <f aca="false">'568'!AK26</f>
        <v>1479590</v>
      </c>
      <c r="F43" s="12" t="s">
        <v>23</v>
      </c>
    </row>
    <row r="44" customFormat="false" ht="15" hidden="false" customHeight="false" outlineLevel="0" collapsed="false">
      <c r="A44" s="4" t="n">
        <v>25</v>
      </c>
      <c r="B44" s="5" t="str">
        <f aca="false">'568'!B27</f>
        <v>Lô 401</v>
      </c>
      <c r="C44" s="6" t="str">
        <f aca="false">TRIM('568'!C27)</f>
        <v>Thép cuộn đen</v>
      </c>
      <c r="D44" s="6" t="n">
        <f aca="false">'568'!E27</f>
        <v>100</v>
      </c>
      <c r="E44" s="6" t="n">
        <f aca="false">'568'!AK27</f>
        <v>2969210</v>
      </c>
      <c r="F44" s="12" t="s">
        <v>22</v>
      </c>
    </row>
    <row r="45" customFormat="false" ht="15" hidden="false" customHeight="false" outlineLevel="0" collapsed="false">
      <c r="A45" s="4" t="n">
        <v>26</v>
      </c>
      <c r="B45" s="5" t="str">
        <f aca="false">'568'!B28</f>
        <v>Lô 402</v>
      </c>
      <c r="C45" s="6" t="str">
        <f aca="false">TRIM('568'!C28)</f>
        <v>Thép cuộn inox</v>
      </c>
      <c r="D45" s="6" t="n">
        <f aca="false">'568'!E28</f>
        <v>32</v>
      </c>
      <c r="E45" s="6" t="n">
        <f aca="false">'568'!AK28</f>
        <v>697545</v>
      </c>
      <c r="F45" s="12" t="s">
        <v>23</v>
      </c>
    </row>
    <row r="46" customFormat="false" ht="15" hidden="false" customHeight="false" outlineLevel="0" collapsed="false">
      <c r="A46" s="4" t="n">
        <v>27</v>
      </c>
      <c r="B46" s="5" t="str">
        <f aca="false">'568'!B29</f>
        <v>Lô 403</v>
      </c>
      <c r="C46" s="6" t="str">
        <f aca="false">TRIM('568'!C29)</f>
        <v>Thép cuộn inox</v>
      </c>
      <c r="D46" s="6" t="n">
        <f aca="false">'568'!E29</f>
        <v>22</v>
      </c>
      <c r="E46" s="6" t="n">
        <f aca="false">'568'!AK29</f>
        <v>479922</v>
      </c>
      <c r="F46" s="12" t="s">
        <v>23</v>
      </c>
    </row>
    <row r="47" customFormat="false" ht="15" hidden="false" customHeight="false" outlineLevel="0" collapsed="false">
      <c r="A47" s="4" t="n">
        <v>28</v>
      </c>
      <c r="B47" s="5" t="str">
        <f aca="false">'568'!B30</f>
        <v>Lô 404</v>
      </c>
      <c r="C47" s="6" t="str">
        <f aca="false">TRIM('568'!C30)</f>
        <v>Thép cuộn inox</v>
      </c>
      <c r="D47" s="6" t="n">
        <f aca="false">'568'!E30</f>
        <v>30</v>
      </c>
      <c r="E47" s="6" t="n">
        <f aca="false">'568'!AK30</f>
        <v>653305</v>
      </c>
      <c r="F47" s="12" t="s">
        <v>23</v>
      </c>
    </row>
    <row r="48" customFormat="false" ht="15" hidden="false" customHeight="false" outlineLevel="0" collapsed="false">
      <c r="A48" s="4" t="n">
        <v>29</v>
      </c>
      <c r="B48" s="5" t="str">
        <f aca="false">'568'!B31</f>
        <v>Lô 405</v>
      </c>
      <c r="C48" s="6" t="str">
        <f aca="false">TRIM('568'!C31)</f>
        <v>Thép cuộn inox</v>
      </c>
      <c r="D48" s="6" t="n">
        <f aca="false">'568'!E31</f>
        <v>27</v>
      </c>
      <c r="E48" s="6" t="n">
        <f aca="false">'568'!AK31</f>
        <v>590235</v>
      </c>
      <c r="F48" s="12" t="s">
        <v>23</v>
      </c>
    </row>
    <row r="49" customFormat="false" ht="15" hidden="false" customHeight="false" outlineLevel="0" collapsed="false">
      <c r="A49" s="4" t="n">
        <v>30</v>
      </c>
      <c r="B49" s="5" t="str">
        <f aca="false">'568'!B32</f>
        <v>Lô 406</v>
      </c>
      <c r="C49" s="6" t="str">
        <f aca="false">TRIM('568'!C32)</f>
        <v>Thép cuộn inox</v>
      </c>
      <c r="D49" s="6" t="n">
        <f aca="false">'568'!E32</f>
        <v>29</v>
      </c>
      <c r="E49" s="6" t="n">
        <f aca="false">'568'!AK32</f>
        <v>633810</v>
      </c>
      <c r="F49" s="12" t="s">
        <v>23</v>
      </c>
    </row>
    <row r="50" customFormat="false" ht="15" hidden="false" customHeight="false" outlineLevel="0" collapsed="false">
      <c r="A50" s="4" t="n">
        <v>31</v>
      </c>
      <c r="B50" s="5" t="str">
        <f aca="false">'568'!B33</f>
        <v>Lô 407</v>
      </c>
      <c r="C50" s="6" t="str">
        <f aca="false">TRIM('568'!C33)</f>
        <v>Thép cuộn inox</v>
      </c>
      <c r="D50" s="6" t="n">
        <f aca="false">'568'!E33</f>
        <v>31</v>
      </c>
      <c r="E50" s="6" t="n">
        <f aca="false">'568'!AK33</f>
        <v>680480</v>
      </c>
      <c r="F50" s="12" t="s">
        <v>23</v>
      </c>
    </row>
    <row r="51" customFormat="false" ht="15" hidden="false" customHeight="false" outlineLevel="0" collapsed="false">
      <c r="A51" s="4" t="n">
        <v>32</v>
      </c>
      <c r="B51" s="5" t="str">
        <f aca="false">'568'!B34</f>
        <v>Lô 408</v>
      </c>
      <c r="C51" s="6" t="str">
        <f aca="false">TRIM('568'!C34)</f>
        <v>Thép cuộn inox</v>
      </c>
      <c r="D51" s="6" t="n">
        <f aca="false">'568'!E34</f>
        <v>32</v>
      </c>
      <c r="E51" s="6" t="n">
        <f aca="false">'568'!AK34</f>
        <v>695910</v>
      </c>
      <c r="F51" s="12" t="s">
        <v>23</v>
      </c>
    </row>
    <row r="52" customFormat="false" ht="15" hidden="false" customHeight="false" outlineLevel="0" collapsed="false">
      <c r="A52" s="4" t="n">
        <v>33</v>
      </c>
      <c r="B52" s="5" t="str">
        <f aca="false">'568'!B35</f>
        <v>Lô 409</v>
      </c>
      <c r="C52" s="6" t="str">
        <f aca="false">TRIM('568'!C35)</f>
        <v>Thép cuộn inox</v>
      </c>
      <c r="D52" s="6" t="n">
        <f aca="false">'568'!E35</f>
        <v>19</v>
      </c>
      <c r="E52" s="6" t="n">
        <f aca="false">'568'!AK35</f>
        <v>413535</v>
      </c>
      <c r="F52" s="12" t="s">
        <v>23</v>
      </c>
    </row>
    <row r="53" customFormat="false" ht="15" hidden="false" customHeight="false" outlineLevel="0" collapsed="false">
      <c r="A53" s="4" t="n">
        <v>34</v>
      </c>
      <c r="B53" s="5" t="str">
        <f aca="false">'568'!B36</f>
        <v>Lô 410</v>
      </c>
      <c r="C53" s="6" t="str">
        <f aca="false">TRIM('568'!C36)</f>
        <v>Thép cuộn inox</v>
      </c>
      <c r="D53" s="6" t="n">
        <f aca="false">'568'!E36</f>
        <v>31</v>
      </c>
      <c r="E53" s="6" t="n">
        <f aca="false">'568'!AK36</f>
        <v>674520</v>
      </c>
      <c r="F53" s="12" t="s">
        <v>23</v>
      </c>
    </row>
    <row r="54" customFormat="false" ht="15" hidden="false" customHeight="false" outlineLevel="0" collapsed="false">
      <c r="A54" s="4" t="n">
        <v>35</v>
      </c>
      <c r="B54" s="5" t="str">
        <f aca="false">'568'!B37</f>
        <v>Lô 411</v>
      </c>
      <c r="C54" s="6" t="str">
        <f aca="false">TRIM('568'!C37)</f>
        <v>Thép cuộn đen</v>
      </c>
      <c r="D54" s="6" t="n">
        <f aca="false">'568'!E37</f>
        <v>70</v>
      </c>
      <c r="E54" s="6" t="n">
        <f aca="false">'568'!AK37</f>
        <v>2076910</v>
      </c>
      <c r="F54" s="12" t="s">
        <v>22</v>
      </c>
    </row>
    <row r="55" customFormat="false" ht="15" hidden="false" customHeight="false" outlineLevel="0" collapsed="false">
      <c r="A55" s="4" t="n">
        <v>36</v>
      </c>
      <c r="B55" s="5" t="str">
        <f aca="false">'568'!B38</f>
        <v>Lô 412</v>
      </c>
      <c r="C55" s="6" t="str">
        <f aca="false">TRIM('568'!C38)</f>
        <v>Thép cuộn đen</v>
      </c>
      <c r="D55" s="6" t="n">
        <f aca="false">'568'!E38</f>
        <v>50</v>
      </c>
      <c r="E55" s="6" t="n">
        <f aca="false">'568'!AK38</f>
        <v>1481435</v>
      </c>
      <c r="F55" s="12" t="s">
        <v>22</v>
      </c>
    </row>
    <row r="56" customFormat="false" ht="15" hidden="false" customHeight="false" outlineLevel="0" collapsed="false">
      <c r="A56" s="4" t="n">
        <v>37</v>
      </c>
      <c r="B56" s="5" t="str">
        <f aca="false">'568'!B39</f>
        <v>Lô 413</v>
      </c>
      <c r="C56" s="6" t="str">
        <f aca="false">TRIM('568'!C39)</f>
        <v>Thép cuộn inox</v>
      </c>
      <c r="D56" s="6" t="n">
        <f aca="false">'568'!E39</f>
        <v>0</v>
      </c>
      <c r="E56" s="6" t="n">
        <f aca="false">'568'!AK39</f>
        <v>580460</v>
      </c>
      <c r="F56" s="12" t="s">
        <v>22</v>
      </c>
    </row>
    <row r="57" customFormat="false" ht="15" hidden="false" customHeight="false" outlineLevel="0" collapsed="false">
      <c r="A57" s="4" t="n">
        <v>38</v>
      </c>
      <c r="B57" s="5" t="str">
        <f aca="false">'568'!B40</f>
        <v>Lô 414</v>
      </c>
      <c r="C57" s="6" t="str">
        <f aca="false">TRIM('568'!C40)</f>
        <v>Thép cuộn inox</v>
      </c>
      <c r="D57" s="6" t="n">
        <f aca="false">'568'!E40</f>
        <v>50</v>
      </c>
      <c r="E57" s="6" t="n">
        <f aca="false">'568'!AK40</f>
        <v>1087915</v>
      </c>
      <c r="F57" s="12" t="s">
        <v>23</v>
      </c>
    </row>
    <row r="58" customFormat="false" ht="15" hidden="false" customHeight="false" outlineLevel="0" collapsed="false">
      <c r="A58" s="4" t="n">
        <v>39</v>
      </c>
      <c r="B58" s="5" t="str">
        <f aca="false">'568'!B41</f>
        <v>Lô 415</v>
      </c>
      <c r="C58" s="6" t="str">
        <f aca="false">TRIM('568'!C41)</f>
        <v>Thép cuộn đen</v>
      </c>
      <c r="D58" s="6" t="n">
        <f aca="false">'568'!E41</f>
        <v>89</v>
      </c>
      <c r="E58" s="6" t="n">
        <f aca="false">'568'!AK41</f>
        <v>2333589</v>
      </c>
      <c r="F58" s="12" t="s">
        <v>22</v>
      </c>
    </row>
    <row r="59" customFormat="false" ht="15" hidden="false" customHeight="false" outlineLevel="0" collapsed="false">
      <c r="A59" s="4" t="n">
        <v>40</v>
      </c>
      <c r="B59" s="5" t="str">
        <f aca="false">'568'!B42</f>
        <v>Lô 416</v>
      </c>
      <c r="C59" s="6" t="str">
        <f aca="false">TRIM('568'!C42)</f>
        <v>Thép cuộn inox</v>
      </c>
      <c r="D59" s="6" t="n">
        <f aca="false">'568'!E42</f>
        <v>30</v>
      </c>
      <c r="E59" s="6" t="n">
        <f aca="false">'568'!AK42</f>
        <v>635070</v>
      </c>
      <c r="F59" s="12" t="s">
        <v>23</v>
      </c>
    </row>
    <row r="60" customFormat="false" ht="15" hidden="false" customHeight="false" outlineLevel="0" collapsed="false">
      <c r="A60" s="4" t="n">
        <v>41</v>
      </c>
      <c r="B60" s="5" t="str">
        <f aca="false">'568'!B43</f>
        <v>Lô 417</v>
      </c>
      <c r="C60" s="6" t="str">
        <f aca="false">TRIM('568'!C43)</f>
        <v>Thép cán nóng</v>
      </c>
      <c r="D60" s="6" t="n">
        <f aca="false">'568'!E43</f>
        <v>224</v>
      </c>
      <c r="E60" s="6" t="n">
        <f aca="false">'568'!AK43</f>
        <v>5034570</v>
      </c>
      <c r="F60" s="12" t="s">
        <v>22</v>
      </c>
    </row>
    <row r="61" customFormat="false" ht="15" hidden="false" customHeight="false" outlineLevel="0" collapsed="false">
      <c r="A61" s="4" t="n">
        <v>42</v>
      </c>
      <c r="B61" s="5" t="str">
        <f aca="false">'568'!B44</f>
        <v>Lô 418</v>
      </c>
      <c r="C61" s="6" t="str">
        <f aca="false">TRIM('568'!C44)</f>
        <v>Thép cuộn Inox</v>
      </c>
      <c r="D61" s="6" t="n">
        <f aca="false">'568'!E44</f>
        <v>33</v>
      </c>
      <c r="E61" s="6" t="n">
        <f aca="false">'568'!AK44</f>
        <v>703640</v>
      </c>
      <c r="F61" s="12" t="s">
        <v>23</v>
      </c>
    </row>
    <row r="62" customFormat="false" ht="15" hidden="false" customHeight="false" outlineLevel="0" collapsed="false">
      <c r="A62" s="4" t="n">
        <v>43</v>
      </c>
      <c r="B62" s="5" t="str">
        <f aca="false">'568'!B45</f>
        <v>Lô 419</v>
      </c>
      <c r="C62" s="6" t="str">
        <f aca="false">TRIM('568'!C45)</f>
        <v>Thép cuộn Inox</v>
      </c>
      <c r="D62" s="6" t="n">
        <f aca="false">'568'!E45</f>
        <v>32</v>
      </c>
      <c r="E62" s="6" t="n">
        <f aca="false">'568'!AK45</f>
        <v>690270</v>
      </c>
      <c r="F62" s="12" t="s">
        <v>23</v>
      </c>
    </row>
    <row r="63" customFormat="false" ht="15" hidden="false" customHeight="false" outlineLevel="0" collapsed="false">
      <c r="A63" s="4" t="n">
        <v>44</v>
      </c>
      <c r="B63" s="5" t="str">
        <f aca="false">'568'!B46</f>
        <v>Lô 420</v>
      </c>
      <c r="C63" s="6" t="str">
        <f aca="false">TRIM('568'!C46)</f>
        <v>Thép cán nóng</v>
      </c>
      <c r="D63" s="6" t="n">
        <f aca="false">'568'!E46</f>
        <v>92</v>
      </c>
      <c r="E63" s="6" t="n">
        <f aca="false">'568'!AK46</f>
        <v>2728975</v>
      </c>
      <c r="F63" s="12" t="s">
        <v>23</v>
      </c>
    </row>
    <row r="64" customFormat="false" ht="15" hidden="false" customHeight="false" outlineLevel="0" collapsed="false">
      <c r="A64" s="4" t="n">
        <v>45</v>
      </c>
      <c r="B64" s="5" t="str">
        <f aca="false">'568'!B47</f>
        <v>Lô 421</v>
      </c>
      <c r="C64" s="6" t="str">
        <f aca="false">TRIM('568'!C47)</f>
        <v>Thép cán nóng</v>
      </c>
      <c r="D64" s="6" t="n">
        <f aca="false">'568'!E47</f>
        <v>100</v>
      </c>
      <c r="E64" s="6" t="n">
        <f aca="false">'568'!AK47</f>
        <v>2876713</v>
      </c>
      <c r="F64" s="12" t="s">
        <v>23</v>
      </c>
    </row>
    <row r="65" customFormat="false" ht="15" hidden="false" customHeight="false" outlineLevel="0" collapsed="false">
      <c r="A65" s="4" t="n">
        <v>46</v>
      </c>
      <c r="B65" s="5" t="str">
        <f aca="false">'568'!B48</f>
        <v>Lô 422</v>
      </c>
      <c r="C65" s="6" t="str">
        <f aca="false">TRIM('568'!C48)</f>
        <v>Thép cán nóng</v>
      </c>
      <c r="D65" s="6" t="n">
        <f aca="false">'568'!E48</f>
        <v>67</v>
      </c>
      <c r="E65" s="6" t="n">
        <f aca="false">'568'!AK48</f>
        <v>1963030</v>
      </c>
      <c r="F65" s="12" t="s">
        <v>23</v>
      </c>
    </row>
    <row r="66" customFormat="false" ht="15" hidden="false" customHeight="false" outlineLevel="0" collapsed="false">
      <c r="A66" s="4" t="n">
        <v>47</v>
      </c>
      <c r="B66" s="5" t="str">
        <f aca="false">'568'!B49</f>
        <v>Lô 423</v>
      </c>
      <c r="C66" s="6" t="str">
        <f aca="false">TRIM('568'!C49)</f>
        <v>Thép tấm</v>
      </c>
      <c r="D66" s="6" t="n">
        <f aca="false">'568'!E49</f>
        <v>1330</v>
      </c>
      <c r="E66" s="6" t="n">
        <f aca="false">'568'!AK49</f>
        <v>1756930</v>
      </c>
      <c r="F66" s="12" t="s">
        <v>23</v>
      </c>
    </row>
    <row r="67" customFormat="false" ht="15" hidden="false" customHeight="false" outlineLevel="0" collapsed="false">
      <c r="A67" s="4" t="n">
        <v>48</v>
      </c>
      <c r="B67" s="5" t="str">
        <f aca="false">'568'!B50</f>
        <v>Lô 424</v>
      </c>
      <c r="C67" s="6" t="str">
        <f aca="false">TRIM('568'!C50)</f>
        <v>Thép cuộn Inox</v>
      </c>
      <c r="D67" s="6" t="n">
        <f aca="false">'568'!E50</f>
        <v>47</v>
      </c>
      <c r="E67" s="6" t="n">
        <f aca="false">'568'!AK50</f>
        <v>931450</v>
      </c>
      <c r="F67" s="12" t="s">
        <v>23</v>
      </c>
    </row>
    <row r="68" customFormat="false" ht="15" hidden="false" customHeight="false" outlineLevel="0" collapsed="false">
      <c r="A68" s="4" t="n">
        <v>49</v>
      </c>
      <c r="B68" s="5" t="str">
        <f aca="false">'568'!B51</f>
        <v>Lô 425</v>
      </c>
      <c r="C68" s="6" t="str">
        <f aca="false">TRIM('568'!C51)</f>
        <v>Thép cuộn Inox</v>
      </c>
      <c r="D68" s="6" t="n">
        <f aca="false">'568'!E51</f>
        <v>33</v>
      </c>
      <c r="E68" s="6" t="n">
        <f aca="false">'568'!AK51</f>
        <v>718060</v>
      </c>
      <c r="F68" s="12" t="s">
        <v>23</v>
      </c>
    </row>
    <row r="69" customFormat="false" ht="15" hidden="false" customHeight="false" outlineLevel="0" collapsed="false">
      <c r="A69" s="4" t="n">
        <v>50</v>
      </c>
      <c r="B69" s="5" t="str">
        <f aca="false">'568'!B52</f>
        <v>Lô 426</v>
      </c>
      <c r="C69" s="6" t="str">
        <f aca="false">TRIM('568'!C52)</f>
        <v>Thép cuộn Inox</v>
      </c>
      <c r="D69" s="6" t="n">
        <f aca="false">'568'!E52</f>
        <v>36</v>
      </c>
      <c r="E69" s="6" t="n">
        <f aca="false">'568'!AK52</f>
        <v>783275</v>
      </c>
      <c r="F69" s="12" t="s">
        <v>23</v>
      </c>
    </row>
    <row r="70" customFormat="false" ht="15" hidden="false" customHeight="false" outlineLevel="0" collapsed="false">
      <c r="A70" s="4" t="n">
        <v>51</v>
      </c>
      <c r="B70" s="5" t="str">
        <f aca="false">'568'!B53</f>
        <v>Lô 427</v>
      </c>
      <c r="C70" s="6" t="str">
        <f aca="false">TRIM('568'!C53)</f>
        <v>Thép cuộn Inox</v>
      </c>
      <c r="D70" s="6" t="n">
        <f aca="false">'568'!E53</f>
        <v>31</v>
      </c>
      <c r="E70" s="6" t="n">
        <f aca="false">'568'!AK53</f>
        <v>676390</v>
      </c>
      <c r="F70" s="12" t="s">
        <v>23</v>
      </c>
    </row>
    <row r="71" customFormat="false" ht="15" hidden="false" customHeight="false" outlineLevel="0" collapsed="false">
      <c r="A71" s="8"/>
      <c r="B71" s="8" t="s">
        <v>12</v>
      </c>
      <c r="C71" s="9"/>
      <c r="D71" s="9" t="n">
        <f aca="false">SUM(D20:D70)</f>
        <v>4598</v>
      </c>
      <c r="E71" s="9" t="n">
        <f aca="false">SUM(E20:E70)</f>
        <v>64666807</v>
      </c>
      <c r="F71" s="9"/>
      <c r="G71" s="10" t="str">
        <f aca="false">IF(D71=SUM('568'!$E$3:$E$100),"Khớp sheet 568","LỆCH")</f>
        <v>Khớp sheet 568</v>
      </c>
    </row>
  </sheetData>
  <mergeCells count="1"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D13" activeCellId="0" sqref="D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9.54"/>
    <col collapsed="false" customWidth="true" hidden="false" outlineLevel="0" max="3" min="3" style="0" width="18"/>
    <col collapsed="false" customWidth="true" hidden="false" outlineLevel="0" max="4" min="4" style="0" width="17.09"/>
    <col collapsed="false" customWidth="true" hidden="false" outlineLevel="0" max="24" min="5" style="0" width="5.36"/>
    <col collapsed="false" customWidth="true" hidden="false" outlineLevel="0" max="25" min="25" style="0" width="14.45"/>
    <col collapsed="false" customWidth="true" hidden="false" outlineLevel="0" max="26" min="26" style="0" width="18.91"/>
    <col collapsed="false" customWidth="true" hidden="false" outlineLevel="0" max="27" min="27" style="0" width="14.91"/>
  </cols>
  <sheetData>
    <row r="1" customFormat="false" ht="19.5" hidden="false" customHeight="true" outlineLevel="0" collapsed="false">
      <c r="A1" s="13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customFormat="false" ht="14.25" hidden="false" customHeight="false" outlineLevel="0" collapsed="false">
      <c r="A2" s="14" t="s">
        <v>2</v>
      </c>
      <c r="B2" s="15" t="s">
        <v>25</v>
      </c>
      <c r="C2" s="15"/>
      <c r="D2" s="16" t="s">
        <v>26</v>
      </c>
      <c r="E2" s="17" t="s">
        <v>27</v>
      </c>
      <c r="F2" s="17" t="s">
        <v>28</v>
      </c>
      <c r="G2" s="17" t="s">
        <v>29</v>
      </c>
      <c r="H2" s="17" t="s">
        <v>30</v>
      </c>
      <c r="I2" s="17" t="s">
        <v>31</v>
      </c>
      <c r="J2" s="17" t="s">
        <v>32</v>
      </c>
      <c r="K2" s="17" t="s">
        <v>33</v>
      </c>
      <c r="L2" s="17" t="s">
        <v>34</v>
      </c>
      <c r="M2" s="17" t="s">
        <v>35</v>
      </c>
      <c r="N2" s="17" t="s">
        <v>36</v>
      </c>
      <c r="O2" s="17" t="s">
        <v>37</v>
      </c>
      <c r="P2" s="17" t="s">
        <v>38</v>
      </c>
      <c r="Q2" s="17" t="s">
        <v>39</v>
      </c>
      <c r="R2" s="17" t="s">
        <v>40</v>
      </c>
      <c r="S2" s="17" t="s">
        <v>41</v>
      </c>
      <c r="T2" s="17" t="s">
        <v>42</v>
      </c>
      <c r="U2" s="17" t="s">
        <v>43</v>
      </c>
      <c r="V2" s="17" t="s">
        <v>44</v>
      </c>
      <c r="W2" s="17" t="s">
        <v>45</v>
      </c>
      <c r="X2" s="17" t="s">
        <v>46</v>
      </c>
      <c r="Y2" s="16" t="s">
        <v>47</v>
      </c>
      <c r="Z2" s="18" t="s">
        <v>48</v>
      </c>
      <c r="AA2" s="15" t="s">
        <v>49</v>
      </c>
    </row>
    <row r="3" s="26" customFormat="true" ht="14.25" hidden="false" customHeight="false" outlineLevel="0" collapsed="false">
      <c r="A3" s="19" t="n">
        <v>1</v>
      </c>
      <c r="B3" s="20" t="s">
        <v>50</v>
      </c>
      <c r="C3" s="21" t="s">
        <v>51</v>
      </c>
      <c r="D3" s="22" t="n">
        <v>20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2" t="n">
        <v>20</v>
      </c>
      <c r="Z3" s="24" t="n">
        <v>586620</v>
      </c>
      <c r="AA3" s="25" t="s">
        <v>52</v>
      </c>
    </row>
    <row r="4" s="26" customFormat="true" ht="14.25" hidden="false" customHeight="false" outlineLevel="0" collapsed="false">
      <c r="A4" s="27" t="n">
        <v>2</v>
      </c>
      <c r="B4" s="20" t="s">
        <v>53</v>
      </c>
      <c r="C4" s="21" t="s">
        <v>51</v>
      </c>
      <c r="D4" s="22" t="n">
        <v>50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2" t="n">
        <v>50</v>
      </c>
      <c r="Z4" s="24" t="n">
        <v>506640</v>
      </c>
      <c r="AA4" s="25" t="s">
        <v>52</v>
      </c>
    </row>
    <row r="5" s="35" customFormat="true" ht="14.25" hidden="false" customHeight="false" outlineLevel="0" collapsed="false">
      <c r="A5" s="28" t="n">
        <v>3</v>
      </c>
      <c r="B5" s="29" t="s">
        <v>54</v>
      </c>
      <c r="C5" s="30" t="s">
        <v>55</v>
      </c>
      <c r="D5" s="31" t="n">
        <v>33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1" t="n">
        <v>33</v>
      </c>
      <c r="Z5" s="33" t="n">
        <v>711070</v>
      </c>
      <c r="AA5" s="34" t="s">
        <v>52</v>
      </c>
    </row>
    <row r="6" s="26" customFormat="true" ht="14.25" hidden="false" customHeight="false" outlineLevel="0" collapsed="false">
      <c r="A6" s="27" t="n">
        <v>4</v>
      </c>
      <c r="B6" s="20" t="s">
        <v>56</v>
      </c>
      <c r="C6" s="21" t="s">
        <v>51</v>
      </c>
      <c r="D6" s="22" t="n">
        <v>25</v>
      </c>
      <c r="E6" s="23" t="n">
        <v>-25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2" t="n">
        <v>25</v>
      </c>
      <c r="Z6" s="24" t="n">
        <v>185570</v>
      </c>
      <c r="AA6" s="25" t="s">
        <v>52</v>
      </c>
    </row>
    <row r="7" s="26" customFormat="true" ht="14.25" hidden="false" customHeight="false" outlineLevel="0" collapsed="false">
      <c r="A7" s="19" t="n">
        <v>5</v>
      </c>
      <c r="B7" s="20" t="s">
        <v>57</v>
      </c>
      <c r="C7" s="21" t="s">
        <v>51</v>
      </c>
      <c r="D7" s="22" t="n">
        <v>70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2" t="n">
        <v>70</v>
      </c>
      <c r="Z7" s="24" t="n">
        <v>777465</v>
      </c>
      <c r="AA7" s="25" t="s">
        <v>52</v>
      </c>
    </row>
    <row r="8" s="35" customFormat="true" ht="14.25" hidden="false" customHeight="false" outlineLevel="0" collapsed="false">
      <c r="A8" s="36" t="n">
        <v>6</v>
      </c>
      <c r="B8" s="29" t="s">
        <v>58</v>
      </c>
      <c r="C8" s="30" t="s">
        <v>55</v>
      </c>
      <c r="D8" s="31" t="n">
        <v>19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1" t="n">
        <v>19</v>
      </c>
      <c r="Z8" s="33" t="n">
        <v>410425</v>
      </c>
      <c r="AA8" s="34" t="s">
        <v>52</v>
      </c>
    </row>
    <row r="9" s="35" customFormat="true" ht="14.25" hidden="false" customHeight="false" outlineLevel="0" collapsed="false">
      <c r="A9" s="28" t="n">
        <v>7</v>
      </c>
      <c r="B9" s="29" t="s">
        <v>59</v>
      </c>
      <c r="C9" s="30" t="s">
        <v>55</v>
      </c>
      <c r="D9" s="31" t="n">
        <v>23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1" t="n">
        <v>23</v>
      </c>
      <c r="Z9" s="33" t="n">
        <v>494730</v>
      </c>
      <c r="AA9" s="34" t="s">
        <v>52</v>
      </c>
    </row>
    <row r="10" s="35" customFormat="true" ht="14.25" hidden="false" customHeight="false" outlineLevel="0" collapsed="false">
      <c r="A10" s="36" t="n">
        <v>8</v>
      </c>
      <c r="B10" s="29" t="s">
        <v>60</v>
      </c>
      <c r="C10" s="30" t="s">
        <v>55</v>
      </c>
      <c r="D10" s="31" t="n">
        <v>44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1" t="n">
        <v>44</v>
      </c>
      <c r="Z10" s="33" t="n">
        <v>958485</v>
      </c>
      <c r="AA10" s="34" t="s">
        <v>52</v>
      </c>
    </row>
    <row r="11" s="35" customFormat="true" ht="14.25" hidden="false" customHeight="false" outlineLevel="0" collapsed="false">
      <c r="A11" s="28" t="n">
        <v>9</v>
      </c>
      <c r="B11" s="29" t="s">
        <v>61</v>
      </c>
      <c r="C11" s="30" t="s">
        <v>55</v>
      </c>
      <c r="D11" s="31" t="n">
        <v>36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1" t="n">
        <v>36</v>
      </c>
      <c r="Z11" s="33" t="n">
        <v>783130</v>
      </c>
      <c r="AA11" s="34" t="s">
        <v>52</v>
      </c>
    </row>
    <row r="12" s="35" customFormat="true" ht="14.25" hidden="false" customHeight="false" outlineLevel="0" collapsed="false">
      <c r="A12" s="36" t="n">
        <v>10</v>
      </c>
      <c r="B12" s="29" t="s">
        <v>62</v>
      </c>
      <c r="C12" s="30" t="s">
        <v>55</v>
      </c>
      <c r="D12" s="31" t="n">
        <v>24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1" t="n">
        <v>24</v>
      </c>
      <c r="Z12" s="33" t="n">
        <v>478755</v>
      </c>
      <c r="AA12" s="34" t="s">
        <v>52</v>
      </c>
    </row>
    <row r="13" s="26" customFormat="true" ht="14.25" hidden="false" customHeight="false" outlineLevel="0" collapsed="false">
      <c r="A13" s="19" t="n">
        <v>11</v>
      </c>
      <c r="B13" s="20" t="s">
        <v>63</v>
      </c>
      <c r="C13" s="21" t="s">
        <v>51</v>
      </c>
      <c r="D13" s="22" t="n">
        <v>70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2" t="n">
        <v>70</v>
      </c>
      <c r="Z13" s="24" t="n">
        <v>1294700</v>
      </c>
      <c r="AA13" s="25" t="s">
        <v>52</v>
      </c>
    </row>
    <row r="14" s="35" customFormat="true" ht="14.25" hidden="false" customHeight="false" outlineLevel="0" collapsed="false">
      <c r="A14" s="36" t="n">
        <v>12</v>
      </c>
      <c r="B14" s="29" t="s">
        <v>64</v>
      </c>
      <c r="C14" s="30" t="s">
        <v>55</v>
      </c>
      <c r="D14" s="31" t="n">
        <v>40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1" t="n">
        <v>40</v>
      </c>
      <c r="Z14" s="33" t="n">
        <v>869605</v>
      </c>
      <c r="AA14" s="34" t="s">
        <v>52</v>
      </c>
    </row>
    <row r="15" s="35" customFormat="true" ht="14.25" hidden="false" customHeight="false" outlineLevel="0" collapsed="false">
      <c r="A15" s="28" t="n">
        <v>13</v>
      </c>
      <c r="B15" s="29" t="s">
        <v>65</v>
      </c>
      <c r="C15" s="30" t="s">
        <v>55</v>
      </c>
      <c r="D15" s="31" t="n">
        <v>30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1" t="n">
        <v>30</v>
      </c>
      <c r="Z15" s="33" t="n">
        <v>655620</v>
      </c>
      <c r="AA15" s="34" t="s">
        <v>52</v>
      </c>
    </row>
    <row r="16" s="35" customFormat="true" ht="14.25" hidden="false" customHeight="false" outlineLevel="0" collapsed="false">
      <c r="A16" s="36" t="n">
        <v>14</v>
      </c>
      <c r="B16" s="29" t="s">
        <v>66</v>
      </c>
      <c r="C16" s="30" t="s">
        <v>55</v>
      </c>
      <c r="D16" s="31" t="n">
        <v>40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1" t="n">
        <v>40</v>
      </c>
      <c r="Z16" s="33" t="n">
        <v>870450</v>
      </c>
      <c r="AA16" s="34" t="s">
        <v>52</v>
      </c>
    </row>
    <row r="17" s="35" customFormat="true" ht="14.25" hidden="false" customHeight="false" outlineLevel="0" collapsed="false">
      <c r="A17" s="28" t="n">
        <v>15</v>
      </c>
      <c r="B17" s="29" t="s">
        <v>67</v>
      </c>
      <c r="C17" s="30" t="s">
        <v>55</v>
      </c>
      <c r="D17" s="31" t="n">
        <v>40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1" t="n">
        <v>40</v>
      </c>
      <c r="Z17" s="33" t="n">
        <v>876190</v>
      </c>
      <c r="AA17" s="34" t="s">
        <v>52</v>
      </c>
    </row>
    <row r="18" s="35" customFormat="true" ht="14.25" hidden="false" customHeight="false" outlineLevel="0" collapsed="false">
      <c r="A18" s="28" t="n">
        <v>16</v>
      </c>
      <c r="B18" s="29" t="s">
        <v>68</v>
      </c>
      <c r="C18" s="30" t="s">
        <v>55</v>
      </c>
      <c r="D18" s="31" t="n">
        <v>45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1" t="n">
        <v>45</v>
      </c>
      <c r="Z18" s="33" t="n">
        <v>979480</v>
      </c>
      <c r="AA18" s="34" t="s">
        <v>52</v>
      </c>
    </row>
    <row r="19" s="35" customFormat="true" ht="14.25" hidden="false" customHeight="false" outlineLevel="0" collapsed="false">
      <c r="A19" s="28" t="n">
        <v>17</v>
      </c>
      <c r="B19" s="29" t="s">
        <v>69</v>
      </c>
      <c r="C19" s="30" t="s">
        <v>55</v>
      </c>
      <c r="D19" s="31" t="n">
        <v>50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1" t="n">
        <v>50</v>
      </c>
      <c r="Z19" s="33" t="n">
        <v>1083360</v>
      </c>
      <c r="AA19" s="34" t="s">
        <v>52</v>
      </c>
    </row>
    <row r="20" s="35" customFormat="true" ht="14.25" hidden="false" customHeight="false" outlineLevel="0" collapsed="false">
      <c r="A20" s="28" t="n">
        <v>18</v>
      </c>
      <c r="B20" s="29" t="s">
        <v>70</v>
      </c>
      <c r="C20" s="30" t="s">
        <v>55</v>
      </c>
      <c r="D20" s="31" t="n">
        <v>26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1" t="n">
        <v>26</v>
      </c>
      <c r="Z20" s="33" t="n">
        <v>564870</v>
      </c>
      <c r="AA20" s="34" t="s">
        <v>52</v>
      </c>
    </row>
    <row r="21" customFormat="false" ht="14.25" hidden="false" customHeight="false" outlineLevel="0" collapsed="false"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customFormat="false" ht="14.25" hidden="false" customHeight="false" outlineLevel="0" collapsed="false"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customFormat="false" ht="14.25" hidden="false" customHeight="false" outlineLevel="0" collapsed="false"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customFormat="false" ht="14.25" hidden="false" customHeight="false" outlineLevel="0" collapsed="false"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customFormat="false" ht="14.25" hidden="false" customHeight="false" outlineLevel="0" collapsed="false"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customFormat="false" ht="14.25" hidden="false" customHeight="false" outlineLevel="0" collapsed="false"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customFormat="false" ht="14.25" hidden="false" customHeight="false" outlineLevel="0" collapsed="false"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customFormat="false" ht="14.25" hidden="false" customHeight="false" outlineLevel="0" collapsed="false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customFormat="false" ht="14.25" hidden="false" customHeight="false" outlineLevel="0" collapsed="false"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customFormat="false" ht="14.25" hidden="false" customHeight="false" outlineLevel="0" collapsed="false"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customFormat="false" ht="14.25" hidden="false" customHeight="false" outlineLevel="0" collapsed="false"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 customFormat="false" ht="14.25" hidden="false" customHeight="false" outlineLevel="0" collapsed="false"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customFormat="false" ht="14.25" hidden="false" customHeight="false" outlineLevel="0" collapsed="false"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</row>
    <row r="34" customFormat="false" ht="14.25" hidden="false" customHeight="false" outlineLevel="0" collapsed="false"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customFormat="false" ht="14.25" hidden="false" customHeight="false" outlineLevel="0" collapsed="false"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</row>
    <row r="36" customFormat="false" ht="14.25" hidden="false" customHeight="false" outlineLevel="0" collapsed="false"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</row>
    <row r="37" customFormat="false" ht="14.25" hidden="false" customHeight="false" outlineLevel="0" collapsed="false"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</row>
    <row r="38" customFormat="false" ht="14.25" hidden="false" customHeight="false" outlineLevel="0" collapsed="false"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 customFormat="false" ht="14.25" hidden="false" customHeight="false" outlineLevel="0" collapsed="false"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</row>
    <row r="40" customFormat="false" ht="14.25" hidden="false" customHeight="false" outlineLevel="0" collapsed="false"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</row>
    <row r="41" customFormat="false" ht="14.25" hidden="false" customHeight="false" outlineLevel="0" collapsed="false"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</row>
    <row r="42" customFormat="false" ht="14.25" hidden="false" customHeight="false" outlineLevel="0" collapsed="false"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</sheetData>
  <mergeCells count="2">
    <mergeCell ref="A1:AA1"/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O1" activePane="topRight" state="frozen"/>
      <selection pane="topLeft" activeCell="A1" activeCellId="0" sqref="A1"/>
      <selection pane="topRight" activeCell="AF15" activeCellId="0" sqref="AF1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.54"/>
    <col collapsed="false" customWidth="true" hidden="false" outlineLevel="0" max="2" min="2" style="0" width="10.54"/>
    <col collapsed="false" customWidth="true" hidden="false" outlineLevel="0" max="4" min="3" style="0" width="19.63"/>
    <col collapsed="false" customWidth="true" hidden="false" outlineLevel="0" max="5" min="5" style="0" width="14.09"/>
    <col collapsed="false" customWidth="true" hidden="false" outlineLevel="0" max="36" min="6" style="0" width="5.36"/>
    <col collapsed="false" customWidth="true" hidden="false" outlineLevel="0" max="37" min="37" style="0" width="20.09"/>
    <col collapsed="false" customWidth="true" hidden="false" outlineLevel="0" max="38" min="38" style="0" width="15"/>
    <col collapsed="false" customWidth="true" hidden="false" outlineLevel="0" max="42" min="42" style="0" width="13.91"/>
  </cols>
  <sheetData>
    <row r="1" customFormat="false" ht="19.5" hidden="false" customHeight="true" outlineLevel="0" collapsed="false">
      <c r="A1" s="37" t="s">
        <v>71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</row>
    <row r="2" s="41" customFormat="true" ht="14.25" hidden="false" customHeight="false" outlineLevel="0" collapsed="false">
      <c r="A2" s="39" t="s">
        <v>2</v>
      </c>
      <c r="B2" s="39" t="s">
        <v>25</v>
      </c>
      <c r="C2" s="39"/>
      <c r="D2" s="17" t="s">
        <v>72</v>
      </c>
      <c r="E2" s="17" t="s">
        <v>47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  <c r="L2" s="17" t="s">
        <v>33</v>
      </c>
      <c r="M2" s="17" t="s">
        <v>34</v>
      </c>
      <c r="N2" s="17" t="s">
        <v>35</v>
      </c>
      <c r="O2" s="17" t="s">
        <v>36</v>
      </c>
      <c r="P2" s="17" t="s">
        <v>37</v>
      </c>
      <c r="Q2" s="17" t="s">
        <v>38</v>
      </c>
      <c r="R2" s="17" t="s">
        <v>39</v>
      </c>
      <c r="S2" s="17" t="s">
        <v>40</v>
      </c>
      <c r="T2" s="17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7" t="s">
        <v>73</v>
      </c>
      <c r="AA2" s="17" t="s">
        <v>74</v>
      </c>
      <c r="AB2" s="17" t="s">
        <v>75</v>
      </c>
      <c r="AC2" s="17" t="s">
        <v>76</v>
      </c>
      <c r="AD2" s="17" t="s">
        <v>77</v>
      </c>
      <c r="AE2" s="17" t="s">
        <v>78</v>
      </c>
      <c r="AF2" s="17" t="s">
        <v>79</v>
      </c>
      <c r="AG2" s="17" t="s">
        <v>80</v>
      </c>
      <c r="AH2" s="17" t="s">
        <v>81</v>
      </c>
      <c r="AI2" s="17" t="s">
        <v>82</v>
      </c>
      <c r="AJ2" s="17" t="s">
        <v>83</v>
      </c>
      <c r="AK2" s="40" t="s">
        <v>48</v>
      </c>
      <c r="AL2" s="39" t="s">
        <v>49</v>
      </c>
    </row>
    <row r="3" customFormat="false" ht="15" hidden="false" customHeight="true" outlineLevel="0" collapsed="false">
      <c r="A3" s="42" t="n">
        <v>1</v>
      </c>
      <c r="B3" s="43" t="s">
        <v>84</v>
      </c>
      <c r="C3" s="44" t="s">
        <v>51</v>
      </c>
      <c r="D3" s="23" t="n">
        <v>109</v>
      </c>
      <c r="E3" s="23" t="n">
        <f aca="false">D3+SUM(F3:AG3)</f>
        <v>76</v>
      </c>
      <c r="F3" s="23" t="n">
        <v>-33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 t="n">
        <v>3209810</v>
      </c>
      <c r="AL3" s="25" t="s">
        <v>52</v>
      </c>
    </row>
    <row r="4" customFormat="false" ht="15" hidden="false" customHeight="true" outlineLevel="0" collapsed="false">
      <c r="A4" s="42" t="n">
        <v>2</v>
      </c>
      <c r="B4" s="45" t="s">
        <v>85</v>
      </c>
      <c r="C4" s="44" t="s">
        <v>51</v>
      </c>
      <c r="D4" s="23" t="n">
        <v>64</v>
      </c>
      <c r="E4" s="23" t="n">
        <f aca="false">D4+SUM(F4:AG4)</f>
        <v>64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 t="n">
        <v>1890970</v>
      </c>
      <c r="AL4" s="25" t="s">
        <v>52</v>
      </c>
    </row>
    <row r="5" customFormat="false" ht="15" hidden="false" customHeight="true" outlineLevel="0" collapsed="false">
      <c r="A5" s="42" t="n">
        <v>3</v>
      </c>
      <c r="B5" s="43" t="s">
        <v>86</v>
      </c>
      <c r="C5" s="44" t="s">
        <v>51</v>
      </c>
      <c r="D5" s="23" t="n">
        <v>100</v>
      </c>
      <c r="E5" s="23" t="n">
        <f aca="false">D5+SUM(F5:AG5)</f>
        <v>100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 t="n">
        <v>2975720</v>
      </c>
      <c r="AL5" s="25" t="s">
        <v>52</v>
      </c>
    </row>
    <row r="6" customFormat="false" ht="15" hidden="false" customHeight="true" outlineLevel="0" collapsed="false">
      <c r="A6" s="42" t="n">
        <v>4</v>
      </c>
      <c r="B6" s="43" t="s">
        <v>87</v>
      </c>
      <c r="C6" s="44" t="s">
        <v>88</v>
      </c>
      <c r="D6" s="23" t="n">
        <v>1080</v>
      </c>
      <c r="E6" s="23" t="n">
        <f aca="false">D6+SUM(F6:AG6)</f>
        <v>1080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 t="n">
        <v>2024358</v>
      </c>
      <c r="AL6" s="25" t="s">
        <v>52</v>
      </c>
    </row>
    <row r="7" customFormat="false" ht="15" hidden="false" customHeight="true" outlineLevel="0" collapsed="false">
      <c r="A7" s="42" t="n">
        <v>5</v>
      </c>
      <c r="B7" s="43" t="s">
        <v>89</v>
      </c>
      <c r="C7" s="44" t="s">
        <v>51</v>
      </c>
      <c r="D7" s="23" t="n">
        <v>100</v>
      </c>
      <c r="E7" s="23" t="n">
        <f aca="false">D7+SUM(F7:AG7)</f>
        <v>35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 t="n">
        <v>-65</v>
      </c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 t="n">
        <v>2919555</v>
      </c>
      <c r="AL7" s="25" t="s">
        <v>52</v>
      </c>
    </row>
    <row r="8" s="51" customFormat="true" ht="15" hidden="false" customHeight="true" outlineLevel="0" collapsed="false">
      <c r="A8" s="46" t="n">
        <v>6</v>
      </c>
      <c r="B8" s="47" t="s">
        <v>90</v>
      </c>
      <c r="C8" s="48" t="s">
        <v>55</v>
      </c>
      <c r="D8" s="23" t="n">
        <v>13</v>
      </c>
      <c r="E8" s="23" t="n">
        <f aca="false">D8+SUM(F8:AG8)</f>
        <v>0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 t="n">
        <v>-13</v>
      </c>
      <c r="AE8" s="49"/>
      <c r="AF8" s="49"/>
      <c r="AG8" s="49"/>
      <c r="AH8" s="49"/>
      <c r="AI8" s="49"/>
      <c r="AJ8" s="49"/>
      <c r="AK8" s="49" t="n">
        <v>286905</v>
      </c>
      <c r="AL8" s="50" t="s">
        <v>52</v>
      </c>
    </row>
    <row r="9" s="51" customFormat="true" ht="15" hidden="false" customHeight="true" outlineLevel="0" collapsed="false">
      <c r="A9" s="46" t="n">
        <v>7</v>
      </c>
      <c r="B9" s="47" t="s">
        <v>91</v>
      </c>
      <c r="C9" s="48" t="s">
        <v>55</v>
      </c>
      <c r="D9" s="23" t="n">
        <v>34</v>
      </c>
      <c r="E9" s="23" t="n">
        <f aca="false">D9+SUM(F9:AG9)</f>
        <v>0</v>
      </c>
      <c r="F9" s="49"/>
      <c r="G9" s="49"/>
      <c r="H9" s="49"/>
      <c r="I9" s="49"/>
      <c r="J9" s="49" t="n">
        <v>-28</v>
      </c>
      <c r="K9" s="49" t="n">
        <v>-6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 t="n">
        <v>740890</v>
      </c>
      <c r="AL9" s="50" t="s">
        <v>52</v>
      </c>
    </row>
    <row r="10" s="51" customFormat="true" ht="15" hidden="false" customHeight="true" outlineLevel="0" collapsed="false">
      <c r="A10" s="46" t="n">
        <v>8</v>
      </c>
      <c r="B10" s="47" t="s">
        <v>92</v>
      </c>
      <c r="C10" s="48" t="s">
        <v>55</v>
      </c>
      <c r="D10" s="23" t="n">
        <v>33</v>
      </c>
      <c r="E10" s="23" t="n">
        <f aca="false">D10+SUM(F10:AG10)</f>
        <v>2</v>
      </c>
      <c r="F10" s="49"/>
      <c r="G10" s="49"/>
      <c r="H10" s="49"/>
      <c r="I10" s="49"/>
      <c r="J10" s="49"/>
      <c r="K10" s="49" t="n">
        <v>-31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 t="n">
        <v>718760</v>
      </c>
      <c r="AL10" s="50" t="s">
        <v>52</v>
      </c>
    </row>
    <row r="11" s="51" customFormat="true" ht="15" hidden="false" customHeight="true" outlineLevel="0" collapsed="false">
      <c r="A11" s="46" t="n">
        <v>9</v>
      </c>
      <c r="B11" s="47" t="s">
        <v>93</v>
      </c>
      <c r="C11" s="48" t="s">
        <v>55</v>
      </c>
      <c r="D11" s="23" t="n">
        <v>33</v>
      </c>
      <c r="E11" s="23" t="n">
        <f aca="false">D11+SUM(F11:AG11)</f>
        <v>0</v>
      </c>
      <c r="F11" s="49"/>
      <c r="G11" s="49"/>
      <c r="H11" s="49"/>
      <c r="I11" s="49"/>
      <c r="J11" s="49"/>
      <c r="K11" s="49"/>
      <c r="L11" s="49"/>
      <c r="M11" s="49" t="s">
        <v>94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 t="n">
        <v>-33</v>
      </c>
      <c r="AE11" s="49"/>
      <c r="AF11" s="49"/>
      <c r="AG11" s="49"/>
      <c r="AH11" s="49"/>
      <c r="AI11" s="49"/>
      <c r="AJ11" s="49"/>
      <c r="AK11" s="49" t="n">
        <v>718185</v>
      </c>
      <c r="AL11" s="50" t="s">
        <v>52</v>
      </c>
    </row>
    <row r="12" s="51" customFormat="true" ht="15" hidden="false" customHeight="true" outlineLevel="0" collapsed="false">
      <c r="A12" s="46" t="n">
        <v>10</v>
      </c>
      <c r="B12" s="47" t="s">
        <v>95</v>
      </c>
      <c r="C12" s="48" t="s">
        <v>55</v>
      </c>
      <c r="D12" s="23" t="n">
        <v>27</v>
      </c>
      <c r="E12" s="23" t="n">
        <f aca="false">D12+SUM(F12:AG12)</f>
        <v>27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 t="n">
        <v>574360</v>
      </c>
      <c r="AL12" s="50" t="s">
        <v>52</v>
      </c>
    </row>
    <row r="13" customFormat="false" ht="15" hidden="false" customHeight="true" outlineLevel="0" collapsed="false">
      <c r="A13" s="42" t="n">
        <v>11</v>
      </c>
      <c r="B13" s="43" t="s">
        <v>96</v>
      </c>
      <c r="C13" s="44" t="s">
        <v>51</v>
      </c>
      <c r="D13" s="23" t="n">
        <v>103</v>
      </c>
      <c r="E13" s="23" t="n">
        <f aca="false">D13+SUM(F13:AG13)</f>
        <v>103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 t="n">
        <v>3020650</v>
      </c>
      <c r="AL13" s="25" t="s">
        <v>52</v>
      </c>
    </row>
    <row r="14" s="51" customFormat="true" ht="15" hidden="false" customHeight="true" outlineLevel="0" collapsed="false">
      <c r="A14" s="46" t="n">
        <v>12</v>
      </c>
      <c r="B14" s="47" t="s">
        <v>97</v>
      </c>
      <c r="C14" s="48" t="s">
        <v>55</v>
      </c>
      <c r="D14" s="23" t="n">
        <v>36</v>
      </c>
      <c r="E14" s="23" t="n">
        <f aca="false">D14+SUM(F14:AG14)</f>
        <v>36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 t="n">
        <v>775910</v>
      </c>
      <c r="AL14" s="50" t="s">
        <v>52</v>
      </c>
    </row>
    <row r="15" s="51" customFormat="true" ht="15" hidden="false" customHeight="true" outlineLevel="0" collapsed="false">
      <c r="A15" s="46" t="n">
        <v>13</v>
      </c>
      <c r="B15" s="47" t="s">
        <v>98</v>
      </c>
      <c r="C15" s="48" t="s">
        <v>55</v>
      </c>
      <c r="D15" s="23" t="n">
        <v>45</v>
      </c>
      <c r="E15" s="23" t="n">
        <f aca="false">D15+SUM(F15:AG15)</f>
        <v>45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 t="n">
        <v>970680</v>
      </c>
      <c r="AL15" s="50" t="s">
        <v>52</v>
      </c>
    </row>
    <row r="16" s="51" customFormat="true" ht="15" hidden="false" customHeight="true" outlineLevel="0" collapsed="false">
      <c r="A16" s="46" t="n">
        <v>14</v>
      </c>
      <c r="B16" s="47" t="s">
        <v>99</v>
      </c>
      <c r="C16" s="48" t="s">
        <v>55</v>
      </c>
      <c r="D16" s="23" t="n">
        <v>35</v>
      </c>
      <c r="E16" s="23" t="n">
        <f aca="false">D16+SUM(F16:AG16)</f>
        <v>35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 t="n">
        <v>750910</v>
      </c>
      <c r="AL16" s="50" t="s">
        <v>52</v>
      </c>
    </row>
    <row r="17" s="51" customFormat="true" ht="15" hidden="false" customHeight="true" outlineLevel="0" collapsed="false">
      <c r="A17" s="46" t="n">
        <v>15</v>
      </c>
      <c r="B17" s="47" t="s">
        <v>100</v>
      </c>
      <c r="C17" s="48" t="s">
        <v>55</v>
      </c>
      <c r="D17" s="23" t="n">
        <v>40</v>
      </c>
      <c r="E17" s="23" t="n">
        <f aca="false">D17+SUM(F17:AG17)</f>
        <v>40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 t="n">
        <v>875975</v>
      </c>
      <c r="AL17" s="50" t="s">
        <v>52</v>
      </c>
    </row>
    <row r="18" s="51" customFormat="true" ht="15" hidden="false" customHeight="true" outlineLevel="0" collapsed="false">
      <c r="A18" s="46" t="n">
        <v>16</v>
      </c>
      <c r="B18" s="47" t="s">
        <v>101</v>
      </c>
      <c r="C18" s="48" t="s">
        <v>55</v>
      </c>
      <c r="D18" s="23" t="n">
        <v>44</v>
      </c>
      <c r="E18" s="23" t="n">
        <f aca="false">D18+SUM(F18:AG18)</f>
        <v>44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 t="n">
        <v>950225</v>
      </c>
      <c r="AL18" s="50" t="s">
        <v>52</v>
      </c>
    </row>
    <row r="19" s="51" customFormat="true" ht="15" hidden="false" customHeight="true" outlineLevel="0" collapsed="false">
      <c r="A19" s="46" t="n">
        <v>17</v>
      </c>
      <c r="B19" s="47" t="s">
        <v>102</v>
      </c>
      <c r="C19" s="48" t="s">
        <v>55</v>
      </c>
      <c r="D19" s="23" t="n">
        <v>35</v>
      </c>
      <c r="E19" s="23" t="n">
        <f aca="false">D19+SUM(F19:AG19)</f>
        <v>35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 t="n">
        <v>754980</v>
      </c>
      <c r="AL19" s="50" t="s">
        <v>52</v>
      </c>
    </row>
    <row r="20" s="51" customFormat="true" ht="15" hidden="false" customHeight="true" outlineLevel="0" collapsed="false">
      <c r="A20" s="46" t="n">
        <v>18</v>
      </c>
      <c r="B20" s="47" t="s">
        <v>103</v>
      </c>
      <c r="C20" s="48" t="s">
        <v>55</v>
      </c>
      <c r="D20" s="23" t="n">
        <v>26</v>
      </c>
      <c r="E20" s="23" t="n">
        <f aca="false">D20+SUM(F20:AG20)</f>
        <v>26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 t="n">
        <v>566520</v>
      </c>
      <c r="AL20" s="50" t="s">
        <v>52</v>
      </c>
    </row>
    <row r="21" s="51" customFormat="true" ht="15" hidden="false" customHeight="true" outlineLevel="0" collapsed="false">
      <c r="A21" s="46" t="n">
        <v>19</v>
      </c>
      <c r="B21" s="47" t="s">
        <v>104</v>
      </c>
      <c r="C21" s="48" t="s">
        <v>55</v>
      </c>
      <c r="D21" s="23" t="n">
        <v>24</v>
      </c>
      <c r="E21" s="23" t="n">
        <f aca="false">D21+SUM(F21:AG21)</f>
        <v>24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 t="n">
        <v>527960</v>
      </c>
      <c r="AL21" s="50" t="s">
        <v>52</v>
      </c>
    </row>
    <row r="22" s="51" customFormat="true" ht="15" hidden="false" customHeight="true" outlineLevel="0" collapsed="false">
      <c r="A22" s="46" t="n">
        <v>20</v>
      </c>
      <c r="B22" s="47" t="s">
        <v>105</v>
      </c>
      <c r="C22" s="48" t="s">
        <v>55</v>
      </c>
      <c r="D22" s="23" t="n">
        <v>33</v>
      </c>
      <c r="E22" s="23" t="n">
        <f aca="false">D22+SUM(F22:AG22)</f>
        <v>33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 t="n">
        <v>723945</v>
      </c>
      <c r="AL22" s="50" t="s">
        <v>52</v>
      </c>
    </row>
    <row r="23" s="51" customFormat="true" ht="15" hidden="false" customHeight="true" outlineLevel="0" collapsed="false">
      <c r="A23" s="46" t="n">
        <v>21</v>
      </c>
      <c r="B23" s="47" t="s">
        <v>106</v>
      </c>
      <c r="C23" s="48" t="s">
        <v>55</v>
      </c>
      <c r="D23" s="23" t="n">
        <v>34</v>
      </c>
      <c r="E23" s="23" t="n">
        <f aca="false">D23+SUM(F23:AG23)</f>
        <v>34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 t="n">
        <v>739600</v>
      </c>
      <c r="AL23" s="50" t="s">
        <v>52</v>
      </c>
    </row>
    <row r="24" s="51" customFormat="true" ht="15" hidden="false" customHeight="true" outlineLevel="0" collapsed="false">
      <c r="A24" s="46" t="n">
        <v>22</v>
      </c>
      <c r="B24" s="47" t="s">
        <v>107</v>
      </c>
      <c r="C24" s="48" t="s">
        <v>55</v>
      </c>
      <c r="D24" s="23" t="n">
        <v>35</v>
      </c>
      <c r="E24" s="23" t="n">
        <f aca="false">D24+SUM(F24:AG24)</f>
        <v>35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 t="n">
        <v>764880</v>
      </c>
      <c r="AL24" s="50" t="s">
        <v>52</v>
      </c>
    </row>
    <row r="25" s="51" customFormat="true" ht="15" hidden="false" customHeight="true" outlineLevel="0" collapsed="false">
      <c r="A25" s="46" t="n">
        <v>23</v>
      </c>
      <c r="B25" s="47" t="s">
        <v>108</v>
      </c>
      <c r="C25" s="48" t="s">
        <v>55</v>
      </c>
      <c r="D25" s="23" t="n">
        <v>7</v>
      </c>
      <c r="E25" s="23" t="n">
        <f aca="false">D25+SUM(F25:AG25)</f>
        <v>7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 t="n">
        <v>158315</v>
      </c>
      <c r="AL25" s="50" t="s">
        <v>52</v>
      </c>
    </row>
    <row r="26" s="51" customFormat="true" ht="15" hidden="false" customHeight="true" outlineLevel="0" collapsed="false">
      <c r="A26" s="46"/>
      <c r="B26" s="46"/>
      <c r="C26" s="48" t="s">
        <v>51</v>
      </c>
      <c r="D26" s="23" t="n">
        <v>50</v>
      </c>
      <c r="E26" s="23" t="n">
        <f aca="false">D26+SUM(F26:AG26)</f>
        <v>50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 t="n">
        <v>1479590</v>
      </c>
      <c r="AL26" s="50" t="s">
        <v>52</v>
      </c>
    </row>
    <row r="27" customFormat="false" ht="15" hidden="false" customHeight="true" outlineLevel="0" collapsed="false">
      <c r="A27" s="42" t="n">
        <v>24</v>
      </c>
      <c r="B27" s="43" t="s">
        <v>109</v>
      </c>
      <c r="C27" s="44" t="s">
        <v>51</v>
      </c>
      <c r="D27" s="23" t="n">
        <v>100</v>
      </c>
      <c r="E27" s="23" t="n">
        <f aca="false">D27+SUM(F27:AG27)</f>
        <v>100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 t="n">
        <v>2969210</v>
      </c>
      <c r="AL27" s="25" t="s">
        <v>52</v>
      </c>
    </row>
    <row r="28" s="51" customFormat="true" ht="15" hidden="false" customHeight="true" outlineLevel="0" collapsed="false">
      <c r="A28" s="46" t="n">
        <v>25</v>
      </c>
      <c r="B28" s="47" t="s">
        <v>110</v>
      </c>
      <c r="C28" s="48" t="s">
        <v>55</v>
      </c>
      <c r="D28" s="23" t="n">
        <v>32</v>
      </c>
      <c r="E28" s="23" t="n">
        <f aca="false">D28+SUM(F28:AG28)</f>
        <v>32</v>
      </c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 t="n">
        <v>697545</v>
      </c>
      <c r="AL28" s="50" t="s">
        <v>52</v>
      </c>
    </row>
    <row r="29" s="51" customFormat="true" ht="15" hidden="false" customHeight="true" outlineLevel="0" collapsed="false">
      <c r="A29" s="46" t="n">
        <v>26</v>
      </c>
      <c r="B29" s="47" t="s">
        <v>111</v>
      </c>
      <c r="C29" s="48" t="s">
        <v>55</v>
      </c>
      <c r="D29" s="23" t="n">
        <v>22</v>
      </c>
      <c r="E29" s="23" t="n">
        <f aca="false">D29+SUM(F29:AG29)</f>
        <v>22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 t="n">
        <v>479922</v>
      </c>
      <c r="AL29" s="50" t="s">
        <v>52</v>
      </c>
    </row>
    <row r="30" s="51" customFormat="true" ht="15" hidden="false" customHeight="true" outlineLevel="0" collapsed="false">
      <c r="A30" s="46" t="n">
        <v>27</v>
      </c>
      <c r="B30" s="47" t="s">
        <v>112</v>
      </c>
      <c r="C30" s="48" t="s">
        <v>55</v>
      </c>
      <c r="D30" s="23" t="n">
        <v>30</v>
      </c>
      <c r="E30" s="23" t="n">
        <f aca="false">D30+SUM(F30:AG30)</f>
        <v>30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 t="n">
        <v>653305</v>
      </c>
      <c r="AL30" s="50" t="s">
        <v>52</v>
      </c>
    </row>
    <row r="31" s="51" customFormat="true" ht="15" hidden="false" customHeight="true" outlineLevel="0" collapsed="false">
      <c r="A31" s="46" t="n">
        <v>28</v>
      </c>
      <c r="B31" s="47" t="s">
        <v>113</v>
      </c>
      <c r="C31" s="48" t="s">
        <v>55</v>
      </c>
      <c r="D31" s="23" t="n">
        <v>27</v>
      </c>
      <c r="E31" s="23" t="n">
        <f aca="false">D31+SUM(F31:AG31)</f>
        <v>27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 t="n">
        <v>590235</v>
      </c>
      <c r="AL31" s="50" t="s">
        <v>52</v>
      </c>
    </row>
    <row r="32" s="51" customFormat="true" ht="15" hidden="false" customHeight="true" outlineLevel="0" collapsed="false">
      <c r="A32" s="46" t="n">
        <v>29</v>
      </c>
      <c r="B32" s="47" t="s">
        <v>114</v>
      </c>
      <c r="C32" s="48" t="s">
        <v>55</v>
      </c>
      <c r="D32" s="23" t="n">
        <v>29</v>
      </c>
      <c r="E32" s="23" t="n">
        <f aca="false">D32+SUM(F32:AG32)</f>
        <v>29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 t="n">
        <v>633810</v>
      </c>
      <c r="AL32" s="50" t="s">
        <v>52</v>
      </c>
    </row>
    <row r="33" s="51" customFormat="true" ht="15" hidden="false" customHeight="true" outlineLevel="0" collapsed="false">
      <c r="A33" s="46" t="n">
        <v>30</v>
      </c>
      <c r="B33" s="47" t="s">
        <v>115</v>
      </c>
      <c r="C33" s="48" t="s">
        <v>55</v>
      </c>
      <c r="D33" s="23" t="n">
        <v>31</v>
      </c>
      <c r="E33" s="23" t="n">
        <f aca="false">D33+SUM(F33:AG33)</f>
        <v>31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 t="n">
        <v>680480</v>
      </c>
      <c r="AL33" s="50" t="s">
        <v>52</v>
      </c>
    </row>
    <row r="34" s="51" customFormat="true" ht="15" hidden="false" customHeight="true" outlineLevel="0" collapsed="false">
      <c r="A34" s="46" t="n">
        <v>31</v>
      </c>
      <c r="B34" s="47" t="s">
        <v>116</v>
      </c>
      <c r="C34" s="48" t="s">
        <v>55</v>
      </c>
      <c r="D34" s="23" t="n">
        <v>32</v>
      </c>
      <c r="E34" s="23" t="n">
        <f aca="false">D34+SUM(F34:AG34)</f>
        <v>32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 t="n">
        <v>695910</v>
      </c>
      <c r="AL34" s="50" t="s">
        <v>52</v>
      </c>
    </row>
    <row r="35" s="51" customFormat="true" ht="15" hidden="false" customHeight="true" outlineLevel="0" collapsed="false">
      <c r="A35" s="46" t="n">
        <v>32</v>
      </c>
      <c r="B35" s="47" t="s">
        <v>117</v>
      </c>
      <c r="C35" s="48" t="s">
        <v>55</v>
      </c>
      <c r="D35" s="23" t="n">
        <v>19</v>
      </c>
      <c r="E35" s="23" t="n">
        <f aca="false">D35+SUM(F35:AG35)</f>
        <v>19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 t="n">
        <v>413535</v>
      </c>
      <c r="AL35" s="50" t="s">
        <v>52</v>
      </c>
    </row>
    <row r="36" s="51" customFormat="true" ht="15" hidden="false" customHeight="true" outlineLevel="0" collapsed="false">
      <c r="A36" s="46" t="n">
        <v>33</v>
      </c>
      <c r="B36" s="47" t="s">
        <v>118</v>
      </c>
      <c r="C36" s="48" t="s">
        <v>55</v>
      </c>
      <c r="D36" s="23" t="n">
        <v>31</v>
      </c>
      <c r="E36" s="23" t="n">
        <f aca="false">D36+SUM(F36:AG36)</f>
        <v>31</v>
      </c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 t="n">
        <v>674520</v>
      </c>
      <c r="AL36" s="50" t="s">
        <v>52</v>
      </c>
    </row>
    <row r="37" customFormat="false" ht="15" hidden="false" customHeight="true" outlineLevel="0" collapsed="false">
      <c r="A37" s="42" t="n">
        <v>34</v>
      </c>
      <c r="B37" s="43" t="s">
        <v>119</v>
      </c>
      <c r="C37" s="44" t="s">
        <v>51</v>
      </c>
      <c r="D37" s="23" t="n">
        <v>70</v>
      </c>
      <c r="E37" s="23" t="n">
        <f aca="false">D37+SUM(F37:AG37)</f>
        <v>70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 t="n">
        <v>2076910</v>
      </c>
      <c r="AL37" s="25" t="s">
        <v>52</v>
      </c>
    </row>
    <row r="38" customFormat="false" ht="15" hidden="false" customHeight="true" outlineLevel="0" collapsed="false">
      <c r="A38" s="42" t="n">
        <v>35</v>
      </c>
      <c r="B38" s="43" t="s">
        <v>120</v>
      </c>
      <c r="C38" s="44" t="s">
        <v>51</v>
      </c>
      <c r="D38" s="23" t="n">
        <v>50</v>
      </c>
      <c r="E38" s="23" t="n">
        <f aca="false">D38+SUM(F38:AG38)</f>
        <v>50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 t="n">
        <v>1481435</v>
      </c>
      <c r="AL38" s="25" t="s">
        <v>52</v>
      </c>
    </row>
    <row r="39" customFormat="false" ht="15" hidden="false" customHeight="true" outlineLevel="0" collapsed="false">
      <c r="A39" s="42" t="n">
        <v>36</v>
      </c>
      <c r="B39" s="43" t="s">
        <v>121</v>
      </c>
      <c r="C39" s="52" t="s">
        <v>55</v>
      </c>
      <c r="D39" s="23" t="n">
        <v>0</v>
      </c>
      <c r="E39" s="23" t="n">
        <f aca="false">D39+SUM(F39:AG39)</f>
        <v>0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 t="n">
        <v>580460</v>
      </c>
      <c r="AL39" s="25" t="s">
        <v>52</v>
      </c>
    </row>
    <row r="40" s="51" customFormat="true" ht="15" hidden="false" customHeight="true" outlineLevel="0" collapsed="false">
      <c r="A40" s="46" t="n">
        <v>37</v>
      </c>
      <c r="B40" s="47" t="s">
        <v>122</v>
      </c>
      <c r="C40" s="48" t="s">
        <v>55</v>
      </c>
      <c r="D40" s="23" t="n">
        <v>50</v>
      </c>
      <c r="E40" s="23" t="n">
        <f aca="false">D40+SUM(F40:AG40)</f>
        <v>50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 t="n">
        <v>1087915</v>
      </c>
      <c r="AL40" s="50" t="s">
        <v>52</v>
      </c>
    </row>
    <row r="41" customFormat="false" ht="15" hidden="false" customHeight="true" outlineLevel="0" collapsed="false">
      <c r="A41" s="42" t="n">
        <v>38</v>
      </c>
      <c r="B41" s="43" t="s">
        <v>123</v>
      </c>
      <c r="C41" s="44" t="s">
        <v>51</v>
      </c>
      <c r="D41" s="23" t="n">
        <v>89</v>
      </c>
      <c r="E41" s="23" t="n">
        <f aca="false">D41+SUM(F41:AG41)</f>
        <v>89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 t="n">
        <v>2333589</v>
      </c>
      <c r="AL41" s="25" t="s">
        <v>52</v>
      </c>
    </row>
    <row r="42" s="51" customFormat="true" ht="15" hidden="false" customHeight="true" outlineLevel="0" collapsed="false">
      <c r="A42" s="46" t="n">
        <v>39</v>
      </c>
      <c r="B42" s="47" t="s">
        <v>124</v>
      </c>
      <c r="C42" s="48" t="s">
        <v>55</v>
      </c>
      <c r="D42" s="23" t="n">
        <v>30</v>
      </c>
      <c r="E42" s="23" t="n">
        <f aca="false">D42+SUM(F42:AG42)</f>
        <v>30</v>
      </c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 t="n">
        <v>635070</v>
      </c>
      <c r="AL42" s="50" t="s">
        <v>52</v>
      </c>
    </row>
    <row r="43" customFormat="false" ht="15" hidden="false" customHeight="true" outlineLevel="0" collapsed="false">
      <c r="A43" s="42" t="n">
        <v>40</v>
      </c>
      <c r="B43" s="43" t="s">
        <v>125</v>
      </c>
      <c r="C43" s="53" t="s">
        <v>126</v>
      </c>
      <c r="E43" s="23" t="n">
        <f aca="false">D43+SUM(F43:AG43)</f>
        <v>224</v>
      </c>
      <c r="G43" s="0" t="n">
        <v>10</v>
      </c>
      <c r="H43" s="53" t="n">
        <f aca="false">8+10</f>
        <v>18</v>
      </c>
      <c r="I43" s="53" t="n">
        <f aca="false">9+9</f>
        <v>18</v>
      </c>
      <c r="J43" s="53" t="n">
        <f aca="false">9+9</f>
        <v>18</v>
      </c>
      <c r="N43" s="53" t="n">
        <f aca="false">5+8</f>
        <v>13</v>
      </c>
      <c r="O43" s="0" t="n">
        <v>9</v>
      </c>
      <c r="P43" s="0" t="n">
        <v>10</v>
      </c>
      <c r="S43" s="0" t="n">
        <v>10</v>
      </c>
      <c r="T43" s="0" t="n">
        <v>10</v>
      </c>
      <c r="U43" s="53" t="n">
        <f aca="false">3+6</f>
        <v>9</v>
      </c>
      <c r="V43" s="53" t="n">
        <f aca="false">10+10</f>
        <v>20</v>
      </c>
      <c r="W43" s="53" t="n">
        <f aca="false">8+10+10</f>
        <v>28</v>
      </c>
      <c r="X43" s="53" t="n">
        <f aca="false">10+10</f>
        <v>20</v>
      </c>
      <c r="Y43" s="53" t="n">
        <f aca="false">10+10+11</f>
        <v>31</v>
      </c>
      <c r="AK43" s="53" t="n">
        <f aca="false">2521160+2513410</f>
        <v>5034570</v>
      </c>
    </row>
    <row r="44" s="51" customFormat="true" ht="15" hidden="false" customHeight="true" outlineLevel="0" collapsed="false">
      <c r="A44" s="46" t="n">
        <v>41</v>
      </c>
      <c r="B44" s="47" t="s">
        <v>127</v>
      </c>
      <c r="C44" s="51" t="s">
        <v>128</v>
      </c>
      <c r="E44" s="23" t="n">
        <f aca="false">D44+SUM(F44:AG44)</f>
        <v>33</v>
      </c>
      <c r="J44" s="51" t="n">
        <v>33</v>
      </c>
      <c r="AK44" s="51" t="n">
        <v>703640</v>
      </c>
    </row>
    <row r="45" s="51" customFormat="true" ht="15" hidden="false" customHeight="true" outlineLevel="0" collapsed="false">
      <c r="A45" s="42" t="n">
        <v>42</v>
      </c>
      <c r="B45" s="47" t="s">
        <v>129</v>
      </c>
      <c r="C45" s="51" t="s">
        <v>128</v>
      </c>
      <c r="E45" s="23" t="n">
        <f aca="false">D45+SUM(F45:AG45)</f>
        <v>32</v>
      </c>
      <c r="I45" s="51" t="n">
        <v>32</v>
      </c>
      <c r="AK45" s="51" t="n">
        <v>690270</v>
      </c>
    </row>
    <row r="46" customFormat="false" ht="15" hidden="false" customHeight="true" outlineLevel="0" collapsed="false">
      <c r="A46" s="46" t="n">
        <v>43</v>
      </c>
      <c r="B46" s="54" t="s">
        <v>130</v>
      </c>
      <c r="C46" s="53" t="s">
        <v>126</v>
      </c>
      <c r="E46" s="23" t="n">
        <f aca="false">D46+SUM(F46:AG46)</f>
        <v>92</v>
      </c>
      <c r="AC46" s="0" t="n">
        <v>92</v>
      </c>
      <c r="AK46" s="0" t="n">
        <v>2728975</v>
      </c>
    </row>
    <row r="47" customFormat="false" ht="15" hidden="false" customHeight="true" outlineLevel="0" collapsed="false">
      <c r="A47" s="42" t="n">
        <v>44</v>
      </c>
      <c r="B47" s="54" t="s">
        <v>131</v>
      </c>
      <c r="C47" s="53" t="s">
        <v>126</v>
      </c>
      <c r="E47" s="23" t="n">
        <f aca="false">D47+SUM(F47:AG47)</f>
        <v>100</v>
      </c>
      <c r="AC47" s="0" t="n">
        <v>100</v>
      </c>
      <c r="AK47" s="0" t="n">
        <v>2876713</v>
      </c>
    </row>
    <row r="48" customFormat="false" ht="15" hidden="false" customHeight="true" outlineLevel="0" collapsed="false">
      <c r="A48" s="46" t="n">
        <v>45</v>
      </c>
      <c r="B48" s="54" t="s">
        <v>132</v>
      </c>
      <c r="C48" s="53" t="s">
        <v>126</v>
      </c>
      <c r="E48" s="23" t="n">
        <f aca="false">D48+SUM(F48:AG48)</f>
        <v>67</v>
      </c>
      <c r="AC48" s="0" t="n">
        <v>67</v>
      </c>
      <c r="AK48" s="0" t="n">
        <v>1963030</v>
      </c>
    </row>
    <row r="49" customFormat="false" ht="15" hidden="false" customHeight="true" outlineLevel="0" collapsed="false">
      <c r="A49" s="42" t="n">
        <v>46</v>
      </c>
      <c r="B49" s="54" t="s">
        <v>133</v>
      </c>
      <c r="C49" s="53" t="s">
        <v>88</v>
      </c>
      <c r="E49" s="23" t="n">
        <f aca="false">D49+SUM(F49:AG49)</f>
        <v>1330</v>
      </c>
      <c r="AC49" s="0" t="n">
        <v>1330</v>
      </c>
      <c r="AK49" s="0" t="n">
        <v>1756930</v>
      </c>
    </row>
    <row r="50" customFormat="false" ht="15" hidden="false" customHeight="true" outlineLevel="0" collapsed="false">
      <c r="A50" s="46" t="n">
        <v>47</v>
      </c>
      <c r="B50" s="54" t="s">
        <v>134</v>
      </c>
      <c r="C50" s="51" t="s">
        <v>128</v>
      </c>
      <c r="D50" s="51"/>
      <c r="E50" s="23" t="n">
        <f aca="false">D50+SUM(F50:AG50)</f>
        <v>47</v>
      </c>
      <c r="AE50" s="0" t="n">
        <v>47</v>
      </c>
      <c r="AK50" s="51" t="n">
        <v>931450</v>
      </c>
    </row>
    <row r="51" customFormat="false" ht="15" hidden="false" customHeight="true" outlineLevel="0" collapsed="false">
      <c r="A51" s="42" t="n">
        <v>48</v>
      </c>
      <c r="B51" s="54" t="s">
        <v>135</v>
      </c>
      <c r="C51" s="51" t="s">
        <v>128</v>
      </c>
      <c r="D51" s="51"/>
      <c r="E51" s="23" t="n">
        <f aca="false">D51+SUM(F51:AG51)</f>
        <v>33</v>
      </c>
      <c r="AG51" s="0" t="n">
        <v>33</v>
      </c>
      <c r="AK51" s="51" t="n">
        <v>718060</v>
      </c>
    </row>
    <row r="52" customFormat="false" ht="15" hidden="false" customHeight="true" outlineLevel="0" collapsed="false">
      <c r="A52" s="46" t="n">
        <v>49</v>
      </c>
      <c r="B52" s="54" t="s">
        <v>136</v>
      </c>
      <c r="C52" s="51" t="s">
        <v>128</v>
      </c>
      <c r="D52" s="51"/>
      <c r="E52" s="23" t="n">
        <f aca="false">D52+SUM(F52:AG52)</f>
        <v>36</v>
      </c>
      <c r="AG52" s="55" t="n">
        <v>36</v>
      </c>
      <c r="AK52" s="51" t="n">
        <v>783275</v>
      </c>
    </row>
    <row r="53" customFormat="false" ht="15" hidden="false" customHeight="true" outlineLevel="0" collapsed="false">
      <c r="A53" s="42" t="n">
        <v>50</v>
      </c>
      <c r="B53" s="54" t="s">
        <v>137</v>
      </c>
      <c r="C53" s="51" t="s">
        <v>128</v>
      </c>
      <c r="D53" s="51"/>
      <c r="E53" s="23" t="n">
        <f aca="false">D53+SUM(F53:AG53)</f>
        <v>31</v>
      </c>
      <c r="AG53" s="0" t="n">
        <v>31</v>
      </c>
      <c r="AK53" s="51" t="n">
        <v>676390</v>
      </c>
    </row>
  </sheetData>
  <mergeCells count="3">
    <mergeCell ref="B2:C2"/>
    <mergeCell ref="A25:A26"/>
    <mergeCell ref="B25:B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3" activeCellId="0" sqref="O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.63"/>
    <col collapsed="false" customWidth="true" hidden="false" outlineLevel="0" max="3" min="3" style="0" width="23.45"/>
    <col collapsed="false" customWidth="true" hidden="false" outlineLevel="0" max="4" min="4" style="0" width="5.54"/>
    <col collapsed="false" customWidth="true" hidden="false" outlineLevel="0" max="5" min="5" style="0" width="8.36"/>
    <col collapsed="false" customWidth="true" hidden="false" outlineLevel="0" max="26" min="6" style="0" width="5.36"/>
    <col collapsed="false" customWidth="true" hidden="false" outlineLevel="0" max="27" min="27" style="0" width="15.54"/>
    <col collapsed="false" customWidth="true" hidden="false" outlineLevel="0" max="28" min="28" style="0" width="18"/>
    <col collapsed="false" customWidth="true" hidden="false" outlineLevel="0" max="29" min="29" style="0" width="13"/>
  </cols>
  <sheetData>
    <row r="1" customFormat="false" ht="19.5" hidden="false" customHeight="true" outlineLevel="0" collapsed="false">
      <c r="A1" s="13" t="s">
        <v>138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customFormat="false" ht="14.25" hidden="false" customHeight="false" outlineLevel="0" collapsed="false">
      <c r="A2" s="14" t="s">
        <v>2</v>
      </c>
      <c r="B2" s="15" t="s">
        <v>25</v>
      </c>
      <c r="C2" s="15"/>
      <c r="D2" s="56" t="n">
        <v>46304</v>
      </c>
      <c r="E2" s="56" t="s">
        <v>139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  <c r="L2" s="17" t="s">
        <v>33</v>
      </c>
      <c r="M2" s="17" t="s">
        <v>34</v>
      </c>
      <c r="N2" s="17" t="s">
        <v>35</v>
      </c>
      <c r="O2" s="17" t="s">
        <v>36</v>
      </c>
      <c r="P2" s="17" t="s">
        <v>37</v>
      </c>
      <c r="Q2" s="17" t="s">
        <v>38</v>
      </c>
      <c r="R2" s="17" t="s">
        <v>39</v>
      </c>
      <c r="S2" s="17" t="s">
        <v>40</v>
      </c>
      <c r="T2" s="17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7" t="s">
        <v>73</v>
      </c>
      <c r="AA2" s="18" t="s">
        <v>47</v>
      </c>
      <c r="AB2" s="18" t="s">
        <v>48</v>
      </c>
      <c r="AC2" s="15" t="s">
        <v>49</v>
      </c>
    </row>
    <row r="3" customFormat="false" ht="14.25" hidden="false" customHeight="false" outlineLevel="0" collapsed="false">
      <c r="A3" s="57" t="n">
        <v>1</v>
      </c>
      <c r="B3" s="58" t="s">
        <v>140</v>
      </c>
      <c r="C3" s="21" t="s">
        <v>55</v>
      </c>
      <c r="D3" s="59" t="n">
        <v>2</v>
      </c>
      <c r="E3" s="59" t="n">
        <f aca="false">D3+SUM(F3:Z3)</f>
        <v>2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59" t="n">
        <v>2</v>
      </c>
      <c r="AB3" s="59" t="n">
        <v>42635</v>
      </c>
      <c r="AC3" s="25" t="s">
        <v>52</v>
      </c>
    </row>
    <row r="4" customFormat="false" ht="14.25" hidden="false" customHeight="false" outlineLevel="0" collapsed="false">
      <c r="A4" s="57" t="n">
        <v>2</v>
      </c>
      <c r="B4" s="58" t="s">
        <v>141</v>
      </c>
      <c r="C4" s="21" t="s">
        <v>55</v>
      </c>
      <c r="D4" s="59" t="n">
        <v>20</v>
      </c>
      <c r="E4" s="59" t="n">
        <f aca="false">D4+SUM(F4:Z4)</f>
        <v>0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 t="n">
        <v>-20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59" t="n">
        <v>20</v>
      </c>
      <c r="AB4" s="59" t="n">
        <v>435010</v>
      </c>
      <c r="AC4" s="25" t="s">
        <v>52</v>
      </c>
    </row>
    <row r="5" customFormat="false" ht="14.25" hidden="false" customHeight="false" outlineLevel="0" collapsed="false">
      <c r="A5" s="57" t="n">
        <v>3</v>
      </c>
      <c r="B5" s="58" t="s">
        <v>142</v>
      </c>
      <c r="C5" s="21" t="s">
        <v>55</v>
      </c>
      <c r="D5" s="59" t="n">
        <v>29</v>
      </c>
      <c r="E5" s="59" t="n">
        <f aca="false">D5+SUM(F5:Z5)</f>
        <v>29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59" t="n">
        <v>29</v>
      </c>
      <c r="AB5" s="59" t="n">
        <v>630800</v>
      </c>
      <c r="AC5" s="25" t="s">
        <v>52</v>
      </c>
    </row>
    <row r="6" customFormat="false" ht="14.25" hidden="false" customHeight="false" outlineLevel="0" collapsed="false">
      <c r="A6" s="57" t="n">
        <v>4</v>
      </c>
      <c r="B6" s="58" t="s">
        <v>143</v>
      </c>
      <c r="C6" s="21" t="s">
        <v>55</v>
      </c>
      <c r="D6" s="59" t="n">
        <v>20</v>
      </c>
      <c r="E6" s="59" t="n">
        <f aca="false">D6+SUM(F6:Z6)</f>
        <v>20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59" t="n">
        <v>20</v>
      </c>
      <c r="AB6" s="59" t="n">
        <v>437290</v>
      </c>
      <c r="AC6" s="25" t="s">
        <v>52</v>
      </c>
    </row>
    <row r="7" customFormat="false" ht="14.25" hidden="false" customHeight="false" outlineLevel="0" collapsed="false">
      <c r="A7" s="57" t="n">
        <v>5</v>
      </c>
      <c r="B7" s="58" t="s">
        <v>144</v>
      </c>
      <c r="C7" s="21" t="s">
        <v>55</v>
      </c>
      <c r="D7" s="59" t="n">
        <v>30</v>
      </c>
      <c r="E7" s="59" t="n">
        <f aca="false">D7+SUM(F7:Z7)</f>
        <v>30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59" t="n">
        <v>30</v>
      </c>
      <c r="AB7" s="59" t="n">
        <v>653050</v>
      </c>
      <c r="AC7" s="25" t="s">
        <v>52</v>
      </c>
    </row>
    <row r="8" customFormat="false" ht="14.25" hidden="false" customHeight="false" outlineLevel="0" collapsed="false">
      <c r="A8" s="57" t="n">
        <v>6</v>
      </c>
      <c r="B8" s="58" t="s">
        <v>145</v>
      </c>
      <c r="C8" s="21" t="s">
        <v>55</v>
      </c>
      <c r="D8" s="59" t="n">
        <v>32</v>
      </c>
      <c r="E8" s="59" t="n">
        <f aca="false">D8+SUM(F8:Z8)</f>
        <v>32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59" t="n">
        <v>32</v>
      </c>
      <c r="AB8" s="59" t="n">
        <v>696255</v>
      </c>
      <c r="AC8" s="25" t="s">
        <v>52</v>
      </c>
    </row>
    <row r="9" customFormat="false" ht="14.25" hidden="false" customHeight="false" outlineLevel="0" collapsed="false">
      <c r="A9" s="57" t="n">
        <v>7</v>
      </c>
      <c r="B9" s="58" t="s">
        <v>146</v>
      </c>
      <c r="C9" s="21" t="s">
        <v>55</v>
      </c>
      <c r="D9" s="59" t="n">
        <v>34</v>
      </c>
      <c r="E9" s="59" t="n">
        <f aca="false">D9+SUM(F9:Z9)</f>
        <v>34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59" t="n">
        <v>34</v>
      </c>
      <c r="AB9" s="59" t="n">
        <v>745765</v>
      </c>
      <c r="AC9" s="25" t="s">
        <v>52</v>
      </c>
    </row>
    <row r="10" customFormat="false" ht="14.25" hidden="false" customHeight="false" outlineLevel="0" collapsed="false">
      <c r="A10" s="57" t="n">
        <v>8</v>
      </c>
      <c r="B10" s="58" t="s">
        <v>147</v>
      </c>
      <c r="C10" s="21" t="s">
        <v>55</v>
      </c>
      <c r="D10" s="59" t="n">
        <v>35</v>
      </c>
      <c r="E10" s="59" t="n">
        <f aca="false">D10+SUM(F10:Z10)</f>
        <v>35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59" t="n">
        <v>35</v>
      </c>
      <c r="AB10" s="59" t="n">
        <v>761425</v>
      </c>
      <c r="AC10" s="25" t="s">
        <v>52</v>
      </c>
    </row>
    <row r="11" customFormat="false" ht="14.25" hidden="false" customHeight="false" outlineLevel="0" collapsed="false">
      <c r="A11" s="57" t="n">
        <v>9</v>
      </c>
      <c r="B11" s="58" t="s">
        <v>148</v>
      </c>
      <c r="C11" s="21" t="s">
        <v>55</v>
      </c>
      <c r="D11" s="59" t="n">
        <v>40</v>
      </c>
      <c r="E11" s="59" t="n">
        <f aca="false">D11+SUM(F11:Z11)</f>
        <v>40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59" t="n">
        <v>40</v>
      </c>
      <c r="AB11" s="59" t="n">
        <v>869525</v>
      </c>
      <c r="AC11" s="25" t="s">
        <v>52</v>
      </c>
    </row>
    <row r="12" customFormat="false" ht="14.25" hidden="false" customHeight="false" outlineLevel="0" collapsed="false">
      <c r="A12" s="57" t="n">
        <v>10</v>
      </c>
      <c r="B12" s="58" t="s">
        <v>149</v>
      </c>
      <c r="C12" s="21" t="s">
        <v>55</v>
      </c>
      <c r="D12" s="59" t="n">
        <v>27</v>
      </c>
      <c r="E12" s="59" t="n">
        <f aca="false">D12+SUM(F12:Z12)</f>
        <v>27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59" t="n">
        <v>27</v>
      </c>
      <c r="AB12" s="59" t="n">
        <v>587580</v>
      </c>
      <c r="AC12" s="25" t="s">
        <v>52</v>
      </c>
    </row>
    <row r="13" customFormat="false" ht="14.25" hidden="false" customHeight="false" outlineLevel="0" collapsed="false">
      <c r="A13" s="57" t="n">
        <v>11</v>
      </c>
      <c r="B13" s="58" t="s">
        <v>150</v>
      </c>
      <c r="C13" s="21" t="s">
        <v>55</v>
      </c>
      <c r="D13" s="59" t="n">
        <v>23</v>
      </c>
      <c r="E13" s="59" t="n">
        <f aca="false">D13+SUM(F13:Z13)</f>
        <v>23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59" t="n">
        <v>23</v>
      </c>
      <c r="AB13" s="59" t="n">
        <v>500255</v>
      </c>
      <c r="AC13" s="25" t="s">
        <v>52</v>
      </c>
    </row>
    <row r="14" customFormat="false" ht="14.25" hidden="false" customHeight="false" outlineLevel="0" collapsed="false">
      <c r="A14" s="57" t="n">
        <v>12</v>
      </c>
      <c r="B14" s="58" t="s">
        <v>151</v>
      </c>
      <c r="C14" s="21" t="s">
        <v>55</v>
      </c>
      <c r="D14" s="59" t="n">
        <v>40</v>
      </c>
      <c r="E14" s="59" t="n">
        <f aca="false">D14+SUM(F14:Z14)</f>
        <v>40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59" t="n">
        <v>40</v>
      </c>
      <c r="AB14" s="59" t="n">
        <v>870480</v>
      </c>
      <c r="AC14" s="25" t="s">
        <v>52</v>
      </c>
    </row>
    <row r="15" customFormat="false" ht="14.25" hidden="false" customHeight="false" outlineLevel="0" collapsed="false">
      <c r="A15" s="57" t="n">
        <v>13</v>
      </c>
      <c r="B15" s="58" t="s">
        <v>152</v>
      </c>
      <c r="C15" s="21" t="s">
        <v>55</v>
      </c>
      <c r="D15" s="59" t="n">
        <v>32</v>
      </c>
      <c r="E15" s="59" t="n">
        <f aca="false">D15+SUM(F15:Z15)</f>
        <v>32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59" t="n">
        <v>32</v>
      </c>
      <c r="AB15" s="59" t="n">
        <v>696035</v>
      </c>
      <c r="AC15" s="25" t="s">
        <v>52</v>
      </c>
    </row>
    <row r="16" customFormat="false" ht="14.25" hidden="false" customHeight="false" outlineLevel="0" collapsed="false">
      <c r="A16" s="57" t="n">
        <v>14</v>
      </c>
      <c r="B16" s="58" t="s">
        <v>153</v>
      </c>
      <c r="C16" s="21" t="s">
        <v>55</v>
      </c>
      <c r="D16" s="59" t="n">
        <v>32</v>
      </c>
      <c r="E16" s="59" t="n">
        <f aca="false">D16+SUM(F16:Z16)</f>
        <v>32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59" t="n">
        <v>32</v>
      </c>
      <c r="AB16" s="59" t="n">
        <v>696295</v>
      </c>
      <c r="AC16" s="25" t="s">
        <v>52</v>
      </c>
    </row>
    <row r="17" customFormat="false" ht="14.25" hidden="false" customHeight="false" outlineLevel="0" collapsed="false">
      <c r="B17" s="60" t="s">
        <v>154</v>
      </c>
      <c r="E17" s="59" t="n">
        <f aca="false">D17+SUM(F17:Z17)</f>
        <v>24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61" t="n">
        <v>24</v>
      </c>
    </row>
    <row r="18" customFormat="false" ht="14.25" hidden="false" customHeight="false" outlineLevel="0" collapsed="false">
      <c r="E18" s="59" t="n">
        <f aca="false">D18+SUM(F18:Y18)</f>
        <v>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61"/>
    </row>
    <row r="19" customFormat="false" ht="14.25" hidden="false" customHeight="false" outlineLevel="0" collapsed="false">
      <c r="E19" s="59" t="n">
        <f aca="false">D19+SUM(F19:Y19)</f>
        <v>0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61"/>
    </row>
    <row r="20" customFormat="false" ht="14.25" hidden="false" customHeight="false" outlineLevel="0" collapsed="false">
      <c r="E20" s="59" t="n">
        <f aca="false">D20+SUM(F20:Y20)</f>
        <v>0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61"/>
    </row>
    <row r="21" customFormat="false" ht="14.25" hidden="false" customHeight="false" outlineLevel="0" collapsed="false">
      <c r="E21" s="59" t="n">
        <f aca="false">D21+SUM(F21:Y21)</f>
        <v>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61"/>
    </row>
    <row r="22" customFormat="false" ht="14.25" hidden="false" customHeight="false" outlineLevel="0" collapsed="false">
      <c r="E22" s="59" t="n">
        <f aca="false">D22+SUM(F22:Y22)</f>
        <v>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61"/>
    </row>
    <row r="23" customFormat="false" ht="14.25" hidden="false" customHeight="false" outlineLevel="0" collapsed="false">
      <c r="E23" s="59" t="n">
        <f aca="false">D23+SUM(F23:Y23)</f>
        <v>0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61"/>
    </row>
    <row r="24" customFormat="false" ht="14.25" hidden="false" customHeight="false" outlineLevel="0" collapsed="false">
      <c r="E24" s="59" t="n">
        <f aca="false">D24+SUM(F24:Y24)</f>
        <v>0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61"/>
    </row>
    <row r="25" customFormat="false" ht="14.25" hidden="false" customHeight="false" outlineLevel="0" collapsed="false">
      <c r="E25" s="59" t="n">
        <f aca="false">D25+SUM(F25:Y25)</f>
        <v>0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61"/>
    </row>
    <row r="26" customFormat="false" ht="14.25" hidden="false" customHeight="false" outlineLevel="0" collapsed="false">
      <c r="E26" s="59" t="n">
        <f aca="false">D26+SUM(F26:Y26)</f>
        <v>0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61"/>
    </row>
    <row r="27" customFormat="false" ht="14.25" hidden="false" customHeight="false" outlineLevel="0" collapsed="false">
      <c r="E27" s="59" t="n">
        <f aca="false">D27+SUM(F27:Y27)</f>
        <v>0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61"/>
    </row>
    <row r="28" customFormat="false" ht="14.25" hidden="false" customHeight="false" outlineLevel="0" collapsed="false">
      <c r="E28" s="59" t="n">
        <f aca="false">D28+SUM(F28:Y28)</f>
        <v>0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61"/>
    </row>
    <row r="29" customFormat="false" ht="14.25" hidden="false" customHeight="false" outlineLevel="0" collapsed="false">
      <c r="E29" s="59" t="n">
        <f aca="false">D29+SUM(F29:Y29)</f>
        <v>0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61"/>
    </row>
    <row r="30" customFormat="false" ht="14.25" hidden="false" customHeight="false" outlineLevel="0" collapsed="false"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61"/>
    </row>
    <row r="31" customFormat="false" ht="14.25" hidden="false" customHeight="false" outlineLevel="0" collapsed="false"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61"/>
    </row>
    <row r="32" customFormat="false" ht="14.25" hidden="false" customHeight="false" outlineLevel="0" collapsed="false"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61"/>
    </row>
    <row r="33" customFormat="false" ht="14.25" hidden="false" customHeight="false" outlineLevel="0" collapsed="false"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61"/>
    </row>
    <row r="34" customFormat="false" ht="14.25" hidden="false" customHeight="false" outlineLevel="0" collapsed="false"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61"/>
    </row>
    <row r="35" customFormat="false" ht="14.25" hidden="false" customHeight="false" outlineLevel="0" collapsed="false"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61"/>
    </row>
    <row r="36" customFormat="false" ht="14.25" hidden="false" customHeight="false" outlineLevel="0" collapsed="false"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61"/>
    </row>
    <row r="37" customFormat="false" ht="14.25" hidden="false" customHeight="false" outlineLevel="0" collapsed="false"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61"/>
    </row>
    <row r="38" customFormat="false" ht="14.25" hidden="false" customHeight="false" outlineLevel="0" collapsed="false"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61"/>
    </row>
    <row r="39" customFormat="false" ht="14.25" hidden="false" customHeight="false" outlineLevel="0" collapsed="false"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61"/>
    </row>
    <row r="40" customFormat="false" ht="14.25" hidden="false" customHeight="false" outlineLevel="0" collapsed="false"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61"/>
    </row>
    <row r="41" customFormat="false" ht="14.25" hidden="false" customHeight="false" outlineLevel="0" collapsed="false"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61"/>
    </row>
    <row r="42" customFormat="false" ht="14.25" hidden="false" customHeight="false" outlineLevel="0" collapsed="false"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61"/>
    </row>
  </sheetData>
  <mergeCells count="2">
    <mergeCell ref="A1:AC1"/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.91"/>
    <col collapsed="false" customWidth="true" hidden="false" outlineLevel="0" max="2" min="2" style="0" width="8.36"/>
    <col collapsed="false" customWidth="true" hidden="false" outlineLevel="0" max="3" min="3" style="0" width="17.91"/>
    <col collapsed="false" customWidth="true" hidden="false" outlineLevel="0" max="23" min="4" style="0" width="5.36"/>
    <col collapsed="false" customWidth="true" hidden="false" outlineLevel="0" max="24" min="24" style="0" width="12.63"/>
    <col collapsed="false" customWidth="true" hidden="false" outlineLevel="0" max="25" min="25" style="0" width="19.82"/>
    <col collapsed="false" customWidth="true" hidden="false" outlineLevel="0" max="26" min="26" style="0" width="14.18"/>
  </cols>
  <sheetData>
    <row r="1" customFormat="false" ht="19.5" hidden="false" customHeight="true" outlineLevel="0" collapsed="false">
      <c r="A1" s="13" t="s">
        <v>155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4.25" hidden="false" customHeight="false" outlineLevel="0" collapsed="false">
      <c r="A2" s="15" t="s">
        <v>2</v>
      </c>
      <c r="B2" s="15" t="s">
        <v>25</v>
      </c>
      <c r="C2" s="15"/>
      <c r="D2" s="17" t="s">
        <v>27</v>
      </c>
      <c r="E2" s="17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7" t="s">
        <v>36</v>
      </c>
      <c r="N2" s="17" t="s">
        <v>37</v>
      </c>
      <c r="O2" s="17" t="s">
        <v>38</v>
      </c>
      <c r="P2" s="17" t="s">
        <v>39</v>
      </c>
      <c r="Q2" s="17" t="s">
        <v>40</v>
      </c>
      <c r="R2" s="17" t="s">
        <v>41</v>
      </c>
      <c r="S2" s="17" t="s">
        <v>42</v>
      </c>
      <c r="T2" s="17" t="s">
        <v>43</v>
      </c>
      <c r="U2" s="17" t="s">
        <v>44</v>
      </c>
      <c r="V2" s="17" t="s">
        <v>45</v>
      </c>
      <c r="W2" s="17" t="s">
        <v>46</v>
      </c>
      <c r="X2" s="62" t="s">
        <v>47</v>
      </c>
      <c r="Y2" s="63" t="s">
        <v>48</v>
      </c>
      <c r="Z2" s="15" t="s">
        <v>49</v>
      </c>
    </row>
    <row r="3" customFormat="false" ht="15" hidden="false" customHeight="true" outlineLevel="0" collapsed="false">
      <c r="A3" s="42" t="n">
        <v>1</v>
      </c>
      <c r="B3" s="43" t="s">
        <v>156</v>
      </c>
      <c r="C3" s="44" t="s">
        <v>55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 t="n">
        <v>17</v>
      </c>
      <c r="Y3" s="23" t="n">
        <v>363550</v>
      </c>
      <c r="Z3" s="25" t="s">
        <v>52</v>
      </c>
    </row>
    <row r="4" customFormat="false" ht="15" hidden="false" customHeight="true" outlineLevel="0" collapsed="false">
      <c r="A4" s="42" t="n">
        <v>2</v>
      </c>
      <c r="B4" s="43" t="s">
        <v>157</v>
      </c>
      <c r="C4" s="44" t="s">
        <v>55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 t="n">
        <v>10</v>
      </c>
      <c r="Y4" s="23" t="n">
        <v>215090</v>
      </c>
      <c r="Z4" s="25" t="s">
        <v>52</v>
      </c>
    </row>
    <row r="5" customFormat="false" ht="15" hidden="false" customHeight="true" outlineLevel="0" collapsed="false">
      <c r="A5" s="42" t="n">
        <v>3</v>
      </c>
      <c r="B5" s="43" t="s">
        <v>158</v>
      </c>
      <c r="C5" s="44" t="s">
        <v>55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 t="n">
        <v>28</v>
      </c>
      <c r="Y5" s="23" t="n">
        <v>601805</v>
      </c>
      <c r="Z5" s="25" t="s">
        <v>52</v>
      </c>
    </row>
    <row r="6" customFormat="false" ht="15" hidden="false" customHeight="true" outlineLevel="0" collapsed="false">
      <c r="A6" s="42" t="n">
        <v>4</v>
      </c>
      <c r="B6" s="43" t="s">
        <v>159</v>
      </c>
      <c r="C6" s="44" t="s">
        <v>55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 t="n">
        <v>20</v>
      </c>
      <c r="Y6" s="23" t="n">
        <v>432190</v>
      </c>
      <c r="Z6" s="25" t="s">
        <v>52</v>
      </c>
    </row>
    <row r="7" customFormat="false" ht="15" hidden="false" customHeight="true" outlineLevel="0" collapsed="false">
      <c r="A7" s="42" t="n">
        <v>5</v>
      </c>
      <c r="B7" s="43" t="s">
        <v>160</v>
      </c>
      <c r="C7" s="44" t="s">
        <v>55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 t="n">
        <v>19</v>
      </c>
      <c r="Y7" s="23" t="n">
        <v>409060</v>
      </c>
      <c r="Z7" s="25" t="s">
        <v>52</v>
      </c>
    </row>
    <row r="8" customFormat="false" ht="15" hidden="false" customHeight="true" outlineLevel="0" collapsed="false">
      <c r="A8" s="42" t="n">
        <v>6</v>
      </c>
      <c r="B8" s="43" t="s">
        <v>161</v>
      </c>
      <c r="C8" s="44" t="s">
        <v>55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 t="n">
        <v>18</v>
      </c>
      <c r="Y8" s="23" t="n">
        <v>387505</v>
      </c>
      <c r="Z8" s="25" t="s">
        <v>52</v>
      </c>
    </row>
    <row r="9" customFormat="false" ht="15" hidden="false" customHeight="true" outlineLevel="0" collapsed="false">
      <c r="A9" s="42" t="n">
        <v>7</v>
      </c>
      <c r="B9" s="43" t="s">
        <v>162</v>
      </c>
      <c r="C9" s="44" t="s">
        <v>55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 t="n">
        <v>40</v>
      </c>
      <c r="Y9" s="23" t="n">
        <v>868247</v>
      </c>
      <c r="Z9" s="25" t="s">
        <v>52</v>
      </c>
    </row>
    <row r="10" customFormat="false" ht="15" hidden="false" customHeight="true" outlineLevel="0" collapsed="false">
      <c r="A10" s="42" t="n">
        <v>8</v>
      </c>
      <c r="B10" s="43" t="s">
        <v>163</v>
      </c>
      <c r="C10" s="44" t="s">
        <v>55</v>
      </c>
      <c r="D10" s="23"/>
      <c r="E10" s="23"/>
      <c r="F10" s="23"/>
      <c r="G10" s="23"/>
      <c r="H10" s="23"/>
      <c r="I10" s="23"/>
      <c r="J10" s="23" t="n">
        <v>-15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 t="n">
        <v>34</v>
      </c>
      <c r="Y10" s="23" t="n">
        <v>365955</v>
      </c>
      <c r="Z10" s="25" t="s">
        <v>52</v>
      </c>
    </row>
    <row r="11" customFormat="false" ht="15" hidden="false" customHeight="true" outlineLevel="0" collapsed="false">
      <c r="A11" s="42" t="n">
        <v>9</v>
      </c>
      <c r="B11" s="43" t="s">
        <v>164</v>
      </c>
      <c r="C11" s="44" t="s">
        <v>55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 t="n">
        <v>53</v>
      </c>
      <c r="Y11" s="23" t="n">
        <v>706345</v>
      </c>
      <c r="Z11" s="25" t="s">
        <v>52</v>
      </c>
    </row>
    <row r="12" customFormat="false" ht="15" hidden="false" customHeight="true" outlineLevel="0" collapsed="false">
      <c r="A12" s="42" t="n">
        <v>10</v>
      </c>
      <c r="B12" s="43" t="s">
        <v>165</v>
      </c>
      <c r="C12" s="44" t="s">
        <v>55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 t="n">
        <v>7</v>
      </c>
      <c r="Y12" s="23" t="n">
        <v>34155</v>
      </c>
      <c r="Z12" s="25" t="s">
        <v>52</v>
      </c>
    </row>
    <row r="13" customFormat="false" ht="15" hidden="false" customHeight="true" outlineLevel="0" collapsed="false">
      <c r="A13" s="42" t="n">
        <v>11</v>
      </c>
      <c r="B13" s="43" t="s">
        <v>166</v>
      </c>
      <c r="C13" s="44" t="s">
        <v>55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 t="n">
        <v>40</v>
      </c>
      <c r="Y13" s="23" t="n">
        <v>870175</v>
      </c>
      <c r="Z13" s="25" t="s">
        <v>52</v>
      </c>
    </row>
    <row r="14" customFormat="false" ht="15" hidden="false" customHeight="true" outlineLevel="0" collapsed="false">
      <c r="A14" s="42" t="n">
        <v>12</v>
      </c>
      <c r="B14" s="43" t="s">
        <v>140</v>
      </c>
      <c r="C14" s="44" t="s">
        <v>55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 t="n">
        <v>30</v>
      </c>
      <c r="Y14" s="23" t="n">
        <v>657930</v>
      </c>
      <c r="Z14" s="25" t="s">
        <v>52</v>
      </c>
    </row>
    <row r="15" customFormat="false" ht="15" hidden="false" customHeight="true" outlineLevel="0" collapsed="false">
      <c r="A15" s="42" t="n">
        <v>13</v>
      </c>
      <c r="B15" s="43" t="s">
        <v>167</v>
      </c>
      <c r="C15" s="44" t="s">
        <v>55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 t="n">
        <v>25</v>
      </c>
      <c r="Y15" s="23" t="n">
        <v>544605</v>
      </c>
      <c r="Z15" s="25" t="s">
        <v>52</v>
      </c>
    </row>
    <row r="16" customFormat="false" ht="15" hidden="false" customHeight="true" outlineLevel="0" collapsed="false">
      <c r="A16" s="42" t="n">
        <v>14</v>
      </c>
      <c r="B16" s="43" t="s">
        <v>168</v>
      </c>
      <c r="C16" s="44" t="s">
        <v>55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 t="n">
        <v>28</v>
      </c>
      <c r="Y16" s="23" t="n">
        <v>609095</v>
      </c>
      <c r="Z16" s="25" t="s">
        <v>52</v>
      </c>
    </row>
    <row r="17" customFormat="false" ht="15" hidden="false" customHeight="true" outlineLevel="0" collapsed="false">
      <c r="A17" s="42" t="n">
        <v>15</v>
      </c>
      <c r="B17" s="43" t="s">
        <v>169</v>
      </c>
      <c r="C17" s="44" t="s">
        <v>55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 t="n">
        <v>25</v>
      </c>
      <c r="Y17" s="23" t="n">
        <v>543920</v>
      </c>
      <c r="Z17" s="25" t="s">
        <v>52</v>
      </c>
    </row>
    <row r="18" customFormat="false" ht="14.25" hidden="false" customHeight="false" outlineLevel="0" collapsed="false"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customFormat="false" ht="14.25" hidden="false" customHeight="false" outlineLevel="0" collapsed="false"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customFormat="false" ht="14.25" hidden="false" customHeight="false" outlineLevel="0" collapsed="false"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customFormat="false" ht="14.25" hidden="false" customHeight="false" outlineLevel="0" collapsed="false"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customFormat="false" ht="14.25" hidden="false" customHeight="false" outlineLevel="0" collapsed="false"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customFormat="false" ht="14.25" hidden="false" customHeight="false" outlineLevel="0" collapsed="false"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customFormat="false" ht="14.25" hidden="false" customHeight="false" outlineLevel="0" collapsed="false"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customFormat="false" ht="14.25" hidden="false" customHeight="false" outlineLevel="0" collapsed="false"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customFormat="false" ht="14.25" hidden="false" customHeight="false" outlineLevel="0" collapsed="false"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customFormat="false" ht="14.25" hidden="false" customHeight="false" outlineLevel="0" collapsed="false"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customFormat="false" ht="14.25" hidden="false" customHeight="false" outlineLevel="0" collapsed="false"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customFormat="false" ht="14.25" hidden="false" customHeight="false" outlineLevel="0" collapsed="false"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customFormat="false" ht="14.25" hidden="false" customHeight="false" outlineLevel="0" collapsed="false"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customFormat="false" ht="14.25" hidden="false" customHeight="false" outlineLevel="0" collapsed="false"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customFormat="false" ht="14.25" hidden="false" customHeight="false" outlineLevel="0" collapsed="false"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customFormat="false" ht="14.25" hidden="false" customHeight="false" outlineLevel="0" collapsed="false"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customFormat="false" ht="14.25" hidden="false" customHeight="false" outlineLevel="0" collapsed="false"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customFormat="false" ht="14.25" hidden="false" customHeight="false" outlineLevel="0" collapsed="false"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customFormat="false" ht="14.25" hidden="false" customHeight="false" outlineLevel="0" collapsed="false"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customFormat="false" ht="14.25" hidden="false" customHeight="false" outlineLevel="0" collapsed="false"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customFormat="false" ht="14.25" hidden="false" customHeight="false" outlineLevel="0" collapsed="false"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customFormat="false" ht="14.25" hidden="false" customHeight="false" outlineLevel="0" collapsed="false"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customFormat="false" ht="14.25" hidden="false" customHeight="false" outlineLevel="0" collapsed="false"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customFormat="false" ht="14.25" hidden="false" customHeight="false" outlineLevel="0" collapsed="false"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customFormat="false" ht="14.25" hidden="false" customHeight="false" outlineLevel="0" collapsed="false"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</sheetData>
  <mergeCells count="2">
    <mergeCell ref="A1:Z1"/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.82"/>
    <col collapsed="false" customWidth="true" hidden="false" outlineLevel="0" max="2" min="2" style="0" width="16"/>
    <col collapsed="false" customWidth="true" hidden="false" outlineLevel="0" max="4" min="3" style="0" width="16.45"/>
    <col collapsed="false" customWidth="true" hidden="false" outlineLevel="0" max="5" min="5" style="0" width="16.36"/>
    <col collapsed="false" customWidth="true" hidden="false" outlineLevel="0" max="6" min="6" style="0" width="11.18"/>
    <col collapsed="false" customWidth="true" hidden="false" outlineLevel="0" max="7" min="7" style="0" width="6.36"/>
    <col collapsed="false" customWidth="true" hidden="false" outlineLevel="0" max="8" min="8" style="0" width="14.18"/>
    <col collapsed="false" customWidth="true" hidden="false" outlineLevel="0" max="9" min="9" style="0" width="12.54"/>
    <col collapsed="false" customWidth="true" hidden="false" outlineLevel="0" max="10" min="10" style="0" width="13.82"/>
    <col collapsed="false" customWidth="true" hidden="false" outlineLevel="0" max="11" min="11" style="0" width="15.54"/>
  </cols>
  <sheetData>
    <row r="1" customFormat="false" ht="19.5" hidden="false" customHeight="true" outlineLevel="0" collapsed="false">
      <c r="A1" s="13" t="s">
        <v>170</v>
      </c>
      <c r="B1" s="13"/>
      <c r="C1" s="13"/>
      <c r="D1" s="13"/>
      <c r="E1" s="13"/>
    </row>
    <row r="2" customFormat="false" ht="14.25" hidden="false" customHeight="false" outlineLevel="0" collapsed="false">
      <c r="A2" s="15" t="s">
        <v>2</v>
      </c>
      <c r="B2" s="64" t="s">
        <v>25</v>
      </c>
      <c r="C2" s="18" t="s">
        <v>47</v>
      </c>
      <c r="D2" s="18" t="s">
        <v>48</v>
      </c>
      <c r="E2" s="15" t="s">
        <v>49</v>
      </c>
    </row>
    <row r="3" customFormat="false" ht="14.25" hidden="false" customHeight="false" outlineLevel="0" collapsed="false">
      <c r="A3" s="42" t="n">
        <v>1</v>
      </c>
      <c r="B3" s="21" t="s">
        <v>171</v>
      </c>
      <c r="C3" s="59"/>
      <c r="D3" s="59"/>
      <c r="E3" s="65"/>
    </row>
    <row r="4" customFormat="false" ht="14.25" hidden="false" customHeight="false" outlineLevel="0" collapsed="false">
      <c r="A4" s="42" t="n">
        <v>2</v>
      </c>
      <c r="B4" s="21" t="s">
        <v>172</v>
      </c>
      <c r="C4" s="59" t="n">
        <v>20</v>
      </c>
      <c r="D4" s="59"/>
      <c r="E4" s="65"/>
    </row>
    <row r="5" customFormat="false" ht="14.25" hidden="false" customHeight="false" outlineLevel="0" collapsed="false">
      <c r="A5" s="57"/>
      <c r="B5" s="21"/>
      <c r="C5" s="59"/>
      <c r="D5" s="66"/>
      <c r="E5" s="65"/>
    </row>
    <row r="9" customFormat="false" ht="14.25" hidden="false" customHeight="false" outlineLevel="0" collapsed="false">
      <c r="A9" s="14" t="s">
        <v>2</v>
      </c>
      <c r="B9" s="15" t="s">
        <v>25</v>
      </c>
      <c r="C9" s="15"/>
      <c r="D9" s="18" t="s">
        <v>47</v>
      </c>
      <c r="E9" s="18" t="s">
        <v>48</v>
      </c>
    </row>
    <row r="10" customFormat="false" ht="14.25" hidden="false" customHeight="false" outlineLevel="0" collapsed="false">
      <c r="A10" s="42" t="n">
        <v>1</v>
      </c>
      <c r="B10" s="58" t="s">
        <v>173</v>
      </c>
      <c r="C10" s="21" t="s">
        <v>172</v>
      </c>
      <c r="D10" s="59" t="n">
        <v>20</v>
      </c>
      <c r="E10" s="65"/>
    </row>
    <row r="11" customFormat="false" ht="14.25" hidden="false" customHeight="false" outlineLevel="0" collapsed="false">
      <c r="A11" s="42"/>
      <c r="B11" s="58"/>
      <c r="C11" s="21"/>
      <c r="D11" s="59"/>
      <c r="E11" s="65"/>
    </row>
    <row r="12" customFormat="false" ht="19.5" hidden="false" customHeight="true" outlineLevel="0" collapsed="false">
      <c r="A12" s="67" t="s">
        <v>174</v>
      </c>
      <c r="B12" s="67"/>
      <c r="C12" s="67"/>
      <c r="D12" s="67"/>
      <c r="E12" s="67"/>
    </row>
    <row r="13" customFormat="false" ht="14.25" hidden="false" customHeight="false" outlineLevel="0" collapsed="false">
      <c r="A13" s="15" t="s">
        <v>2</v>
      </c>
      <c r="B13" s="64" t="s">
        <v>25</v>
      </c>
      <c r="C13" s="18" t="s">
        <v>47</v>
      </c>
      <c r="D13" s="18" t="s">
        <v>48</v>
      </c>
      <c r="E13" s="15" t="s">
        <v>49</v>
      </c>
    </row>
    <row r="14" customFormat="false" ht="14.25" hidden="false" customHeight="false" outlineLevel="0" collapsed="false">
      <c r="A14" s="42" t="n">
        <v>1</v>
      </c>
      <c r="B14" s="21" t="s">
        <v>171</v>
      </c>
      <c r="C14" s="59"/>
      <c r="D14" s="59"/>
      <c r="E14" s="65"/>
    </row>
    <row r="15" customFormat="false" ht="14.25" hidden="false" customHeight="false" outlineLevel="0" collapsed="false">
      <c r="A15" s="42" t="n">
        <v>2</v>
      </c>
      <c r="B15" s="21" t="s">
        <v>175</v>
      </c>
      <c r="C15" s="59"/>
      <c r="D15" s="59"/>
      <c r="E15" s="65"/>
    </row>
    <row r="16" customFormat="false" ht="14.25" hidden="false" customHeight="false" outlineLevel="0" collapsed="false">
      <c r="A16" s="57"/>
      <c r="B16" s="21"/>
      <c r="C16" s="59"/>
      <c r="D16" s="66"/>
      <c r="E16" s="65"/>
    </row>
    <row r="20" customFormat="false" ht="14.25" hidden="false" customHeight="false" outlineLevel="0" collapsed="false">
      <c r="A20" s="14" t="s">
        <v>2</v>
      </c>
      <c r="B20" s="15" t="s">
        <v>25</v>
      </c>
      <c r="C20" s="15"/>
      <c r="D20" s="18" t="s">
        <v>47</v>
      </c>
      <c r="E20" s="18" t="s">
        <v>48</v>
      </c>
    </row>
    <row r="21" customFormat="false" ht="14.25" hidden="false" customHeight="false" outlineLevel="0" collapsed="false">
      <c r="A21" s="42" t="n">
        <v>1</v>
      </c>
      <c r="B21" s="58"/>
      <c r="C21" s="21"/>
      <c r="D21" s="59"/>
      <c r="E21" s="65"/>
    </row>
    <row r="22" customFormat="false" ht="14.25" hidden="false" customHeight="false" outlineLevel="0" collapsed="false">
      <c r="A22" s="42" t="n">
        <v>2</v>
      </c>
      <c r="B22" s="58"/>
      <c r="C22" s="21"/>
      <c r="D22" s="59"/>
      <c r="E22" s="65"/>
    </row>
  </sheetData>
  <mergeCells count="4">
    <mergeCell ref="A1:E1"/>
    <mergeCell ref="B9:C9"/>
    <mergeCell ref="A12:E12"/>
    <mergeCell ref="B20:C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6796875" defaultRowHeight="14.25" zeroHeight="false" outlineLevelRow="0" outlineLevelCol="0"/>
  <cols>
    <col collapsed="false" customWidth="true" hidden="false" outlineLevel="0" max="3" min="3" style="0" width="32"/>
    <col collapsed="false" customWidth="true" hidden="false" outlineLevel="0" max="4" min="4" style="0" width="20.36"/>
    <col collapsed="false" customWidth="true" hidden="false" outlineLevel="0" max="5" min="5" style="0" width="17.91"/>
  </cols>
  <sheetData>
    <row r="1" customFormat="false" ht="19.5" hidden="false" customHeight="true" outlineLevel="0" collapsed="false">
      <c r="A1" s="13" t="s">
        <v>176</v>
      </c>
      <c r="B1" s="13"/>
      <c r="C1" s="13"/>
      <c r="D1" s="13"/>
      <c r="E1" s="13"/>
    </row>
    <row r="2" customFormat="false" ht="14.25" hidden="false" customHeight="false" outlineLevel="0" collapsed="false">
      <c r="A2" s="15" t="s">
        <v>2</v>
      </c>
      <c r="B2" s="68" t="s">
        <v>177</v>
      </c>
      <c r="C2" s="68"/>
      <c r="D2" s="69" t="s">
        <v>178</v>
      </c>
      <c r="E2" s="15" t="s">
        <v>49</v>
      </c>
    </row>
    <row r="3" customFormat="false" ht="15" hidden="false" customHeight="true" outlineLevel="0" collapsed="false">
      <c r="A3" s="42" t="n">
        <v>1</v>
      </c>
      <c r="B3" s="70" t="s">
        <v>179</v>
      </c>
      <c r="C3" s="70"/>
      <c r="D3" s="23" t="n">
        <v>130</v>
      </c>
      <c r="E3" s="25" t="s">
        <v>52</v>
      </c>
    </row>
    <row r="4" customFormat="false" ht="15" hidden="false" customHeight="true" outlineLevel="0" collapsed="false">
      <c r="A4" s="42" t="n">
        <v>2</v>
      </c>
      <c r="B4" s="70" t="s">
        <v>180</v>
      </c>
      <c r="C4" s="70"/>
      <c r="D4" s="23" t="n">
        <v>60</v>
      </c>
      <c r="E4" s="25" t="s">
        <v>52</v>
      </c>
    </row>
    <row r="5" customFormat="false" ht="15" hidden="false" customHeight="true" outlineLevel="0" collapsed="false">
      <c r="A5" s="42" t="n">
        <v>3</v>
      </c>
      <c r="B5" s="70" t="s">
        <v>181</v>
      </c>
      <c r="C5" s="70"/>
      <c r="D5" s="23" t="n">
        <v>130</v>
      </c>
      <c r="E5" s="25" t="s">
        <v>52</v>
      </c>
    </row>
    <row r="6" customFormat="false" ht="15" hidden="false" customHeight="true" outlineLevel="0" collapsed="false">
      <c r="A6" s="42" t="n">
        <v>4</v>
      </c>
      <c r="B6" s="70" t="s">
        <v>182</v>
      </c>
      <c r="C6" s="70"/>
      <c r="D6" s="23" t="n">
        <v>2406</v>
      </c>
      <c r="E6" s="25" t="s">
        <v>52</v>
      </c>
    </row>
    <row r="7" customFormat="false" ht="15" hidden="false" customHeight="true" outlineLevel="0" collapsed="false">
      <c r="A7" s="42" t="n">
        <v>5</v>
      </c>
      <c r="B7" s="70" t="s">
        <v>183</v>
      </c>
      <c r="C7" s="70"/>
      <c r="D7" s="23" t="n">
        <v>1402</v>
      </c>
      <c r="E7" s="25" t="s">
        <v>52</v>
      </c>
    </row>
    <row r="8" customFormat="false" ht="15" hidden="false" customHeight="true" outlineLevel="0" collapsed="false">
      <c r="A8" s="42" t="n">
        <v>6</v>
      </c>
      <c r="B8" s="70" t="s">
        <v>184</v>
      </c>
      <c r="C8" s="70"/>
      <c r="D8" s="23" t="n">
        <v>318</v>
      </c>
      <c r="E8" s="25" t="s">
        <v>52</v>
      </c>
    </row>
    <row r="9" customFormat="false" ht="15" hidden="false" customHeight="true" outlineLevel="0" collapsed="false">
      <c r="A9" s="42" t="n">
        <v>7</v>
      </c>
      <c r="B9" s="70" t="s">
        <v>185</v>
      </c>
      <c r="C9" s="70"/>
      <c r="D9" s="23" t="n">
        <v>700</v>
      </c>
      <c r="E9" s="25" t="s">
        <v>52</v>
      </c>
    </row>
    <row r="10" customFormat="false" ht="15" hidden="false" customHeight="true" outlineLevel="0" collapsed="false">
      <c r="A10" s="42" t="n">
        <v>8</v>
      </c>
      <c r="B10" s="70" t="s">
        <v>186</v>
      </c>
      <c r="C10" s="70"/>
      <c r="D10" s="23" t="n">
        <v>603</v>
      </c>
      <c r="E10" s="25" t="s">
        <v>52</v>
      </c>
    </row>
  </sheetData>
  <mergeCells count="10">
    <mergeCell ref="A1:E1"/>
    <mergeCell ref="B2:C2"/>
    <mergeCell ref="B3:C3"/>
    <mergeCell ref="B4:C4"/>
    <mergeCell ref="B5:C5"/>
    <mergeCell ref="B6:C6"/>
    <mergeCell ref="B7:C7"/>
    <mergeCell ref="B8:C8"/>
    <mergeCell ref="B9:C9"/>
    <mergeCell ref="B10:C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2019-07-01T11:07:42Z</dcterms:created>
  <dc:creator>Thanh Nguyen</dc:creator>
  <dc:description/>
  <dc:language>en-US</dc:language>
  <cp:lastModifiedBy>Son Vu</cp:lastModifiedBy>
  <dcterms:modified xsi:type="dcterms:W3CDTF">2026-10-08T16:28:21Z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